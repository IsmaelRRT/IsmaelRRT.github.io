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smaelrosero/Desktop/Phots of dashboard/"/>
    </mc:Choice>
  </mc:AlternateContent>
  <xr:revisionPtr revIDLastSave="0" documentId="13_ncr:1_{D6F8941B-CC79-6C43-849A-266A766DB685}" xr6:coauthVersionLast="47" xr6:coauthVersionMax="47" xr10:uidLastSave="{00000000-0000-0000-0000-000000000000}"/>
  <bookViews>
    <workbookView xWindow="0" yWindow="760" windowWidth="26740" windowHeight="14520" xr2:uid="{BD8DB6CB-D89F-41B0-A60D-481BCD71CC80}"/>
  </bookViews>
  <sheets>
    <sheet name="Bond Pricing" sheetId="3" r:id="rId1"/>
    <sheet name="Get Yield Curve" sheetId="2" state="hidden" r:id="rId2"/>
  </sheets>
  <functionGroups builtInGroupCount="19"/>
  <definedNames>
    <definedName name="_xleta.PRICE" hidden="1" xlm="1">#NAME?</definedName>
    <definedName name="CFOemail">'Bond Pricing'!$O$3</definedName>
    <definedName name="Daily_Bond_Prices">'Bond Pricing'!$B$2:$L$48</definedName>
    <definedName name="ExternalData_1" localSheetId="1" hidden="1">'Get Yield Curve'!$B$4:$C$17</definedName>
    <definedName name="FileFromat">'Bond Pricing'!$O$6</definedName>
    <definedName name="Myemail">'Bond Pricing'!$O$4</definedName>
    <definedName name="_xlnm.Print_Area" localSheetId="0">'Bond Pricing'!$B$2:$L$48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" l="1"/>
  <c r="C7" i="3"/>
  <c r="C8" i="3"/>
  <c r="C9" i="3"/>
  <c r="C10" i="3"/>
  <c r="C11" i="3"/>
  <c r="C12" i="3"/>
  <c r="C13" i="3"/>
  <c r="C14" i="3"/>
  <c r="C15" i="3"/>
  <c r="C16" i="3"/>
  <c r="C17" i="3"/>
  <c r="B17" i="3"/>
  <c r="B7" i="3"/>
  <c r="B8" i="3"/>
  <c r="B9" i="3"/>
  <c r="B10" i="3"/>
  <c r="B11" i="3"/>
  <c r="B12" i="3"/>
  <c r="B13" i="3"/>
  <c r="B14" i="3"/>
  <c r="B15" i="3"/>
  <c r="B16" i="3"/>
  <c r="B6" i="3"/>
  <c r="B5" i="3"/>
  <c r="C5" i="3"/>
  <c r="B21" i="2"/>
  <c r="W104" i="3" a="1"/>
  <c r="W124" i="3" a="1"/>
  <c r="W23" i="3" a="1"/>
  <c r="W75" i="3" a="1"/>
  <c r="W90" i="3" a="1"/>
  <c r="W78" i="3" a="1"/>
  <c r="W84" i="3" a="1"/>
  <c r="W131" i="3" a="1"/>
  <c r="W25" i="3" a="1"/>
  <c r="W106" i="3" a="1"/>
  <c r="W60" i="3" a="1"/>
  <c r="W29" i="3" a="1"/>
  <c r="G35" i="3" a="1"/>
  <c r="W73" i="3" a="1"/>
  <c r="W95" i="3" a="1"/>
  <c r="W46" i="3" a="1"/>
  <c r="W70" i="3" a="1"/>
  <c r="W42" i="3" a="1"/>
  <c r="W103" i="3" a="1"/>
  <c r="W17" i="3" a="1"/>
  <c r="W9" i="3" a="1"/>
  <c r="W68" i="3" a="1"/>
  <c r="G26" i="3" a="1"/>
  <c r="W72" i="3" a="1"/>
  <c r="W92" i="3" a="1"/>
  <c r="W21" i="3" a="1"/>
  <c r="W86" i="3" a="1"/>
  <c r="W117" i="3" a="1"/>
  <c r="G45" i="3" a="1"/>
  <c r="G41" i="3" a="1"/>
  <c r="W67" i="3" a="1"/>
  <c r="G28" i="3" a="1"/>
  <c r="W130" i="3" a="1"/>
  <c r="G30" i="3" a="1"/>
  <c r="W69" i="3" a="1"/>
  <c r="G29" i="3" a="1"/>
  <c r="W80" i="3" a="1"/>
  <c r="W81" i="3" a="1"/>
  <c r="W38" i="3" a="1"/>
  <c r="G24" i="3" a="1"/>
  <c r="W12" i="3" a="1"/>
  <c r="W50" i="3" a="1"/>
  <c r="W30" i="3" a="1"/>
  <c r="W22" i="3" a="1"/>
  <c r="G47" i="3" a="1"/>
  <c r="G38" i="3" a="1"/>
  <c r="W100" i="3" a="1"/>
  <c r="W93" i="3" a="1"/>
  <c r="W49" i="3" a="1"/>
  <c r="W126" i="3" a="1"/>
  <c r="W15" i="3" a="1"/>
  <c r="W48" i="3" a="1"/>
  <c r="W71" i="3" a="1"/>
  <c r="W64" i="3" a="1"/>
  <c r="W113" i="3" a="1"/>
  <c r="W76" i="3" a="1"/>
  <c r="W55" i="3" a="1"/>
  <c r="W18" i="3" a="1"/>
  <c r="W74" i="3" a="1"/>
  <c r="W118" i="3" a="1"/>
  <c r="W51" i="3" a="1"/>
  <c r="W98" i="3" a="1"/>
  <c r="W62" i="3" a="1"/>
  <c r="W125" i="3" a="1"/>
  <c r="G37" i="3" a="1"/>
  <c r="G46" i="3" a="1"/>
  <c r="W82" i="3" a="1"/>
  <c r="G36" i="3" a="1"/>
  <c r="W27" i="3" a="1"/>
  <c r="W87" i="3" a="1"/>
  <c r="W121" i="3" a="1"/>
  <c r="G27" i="3" a="1"/>
  <c r="G34" i="3" a="1"/>
  <c r="W4" i="3" a="1"/>
  <c r="W13" i="3" a="1"/>
  <c r="W57" i="3" a="1"/>
  <c r="W36" i="3" a="1"/>
  <c r="W129" i="3" a="1"/>
  <c r="W132" i="3" a="1"/>
  <c r="W59" i="3" a="1"/>
  <c r="W32" i="3" a="1"/>
  <c r="G31" i="3" a="1"/>
  <c r="W41" i="3" a="1"/>
  <c r="W44" i="3" a="1"/>
  <c r="W96" i="3" a="1"/>
  <c r="W61" i="3" a="1"/>
  <c r="G25" i="3" a="1"/>
  <c r="W40" i="3" a="1"/>
  <c r="W105" i="3" a="1"/>
  <c r="W88" i="3" a="1"/>
  <c r="W108" i="3" a="1"/>
  <c r="W31" i="3" a="1"/>
  <c r="W66" i="3" a="1"/>
  <c r="W111" i="3" a="1"/>
  <c r="W101" i="3" a="1"/>
  <c r="W10" i="3" a="1"/>
  <c r="W26" i="3" a="1"/>
  <c r="W116" i="3" a="1"/>
  <c r="W33" i="3" a="1"/>
  <c r="W91" i="3" a="1"/>
  <c r="G32" i="3" a="1"/>
  <c r="W24" i="3" a="1"/>
  <c r="W54" i="3" a="1"/>
  <c r="W110" i="3" a="1"/>
  <c r="W16" i="3" a="1"/>
  <c r="W28" i="3" a="1"/>
  <c r="W127" i="3" a="1"/>
  <c r="W128" i="3" a="1"/>
  <c r="W37" i="3" a="1"/>
  <c r="W115" i="3" a="1"/>
  <c r="G42" i="3" a="1"/>
  <c r="W114" i="3" a="1"/>
  <c r="W63" i="3" a="1"/>
  <c r="W34" i="3" a="1"/>
  <c r="W109" i="3" a="1"/>
  <c r="G33" i="3" a="1"/>
  <c r="G39" i="3" a="1"/>
  <c r="W99" i="3" a="1"/>
  <c r="W107" i="3" a="1"/>
  <c r="G48" i="3" a="1"/>
  <c r="W14" i="3" a="1"/>
  <c r="G40" i="3" a="1"/>
  <c r="W122" i="3" a="1"/>
  <c r="W79" i="3" a="1"/>
  <c r="W120" i="3" a="1"/>
  <c r="W58" i="3" a="1"/>
  <c r="W45" i="3" a="1"/>
  <c r="W11" i="3" a="1"/>
  <c r="W53" i="3" a="1"/>
  <c r="W35" i="3" a="1"/>
  <c r="W39" i="3" a="1"/>
  <c r="W112" i="3" a="1"/>
  <c r="W89" i="3" a="1"/>
  <c r="G44" i="3" a="1"/>
  <c r="W77" i="3" a="1"/>
  <c r="W94" i="3" a="1"/>
  <c r="W65" i="3" a="1"/>
  <c r="W85" i="3" a="1"/>
  <c r="W83" i="3" a="1"/>
  <c r="W119" i="3" a="1"/>
  <c r="W102" i="3" a="1"/>
  <c r="W52" i="3" a="1"/>
  <c r="W56" i="3" a="1"/>
  <c r="W19" i="3" a="1"/>
  <c r="G43" i="3" a="1"/>
  <c r="W20" i="3" a="1"/>
  <c r="W97" i="3" a="1"/>
  <c r="W123" i="3" a="1"/>
  <c r="W47" i="3" a="1"/>
  <c r="W43" i="3" a="1"/>
  <c r="G34" i="3" l="1"/>
  <c r="I34" i="3" s="1"/>
  <c r="G39" i="3"/>
  <c r="I39" i="3" s="1"/>
  <c r="G48" i="3"/>
  <c r="I48" i="3" s="1"/>
  <c r="G32" i="3"/>
  <c r="I32" i="3" s="1"/>
  <c r="K32" i="3" s="1"/>
  <c r="G45" i="3"/>
  <c r="I45" i="3" s="1"/>
  <c r="K45" i="3" s="1"/>
  <c r="G37" i="3"/>
  <c r="I37" i="3" s="1"/>
  <c r="K37" i="3" s="1"/>
  <c r="G29" i="3"/>
  <c r="I29" i="3" s="1"/>
  <c r="K29" i="3" s="1"/>
  <c r="G47" i="3"/>
  <c r="I47" i="3" s="1"/>
  <c r="J47" i="3" s="1"/>
  <c r="G42" i="3"/>
  <c r="I42" i="3" s="1"/>
  <c r="G31" i="3"/>
  <c r="I31" i="3" s="1"/>
  <c r="G40" i="3"/>
  <c r="I40" i="3" s="1"/>
  <c r="J40" i="3" s="1"/>
  <c r="G46" i="3"/>
  <c r="I46" i="3" s="1"/>
  <c r="K46" i="3" s="1"/>
  <c r="G38" i="3"/>
  <c r="I38" i="3" s="1"/>
  <c r="K38" i="3" s="1"/>
  <c r="G30" i="3"/>
  <c r="I30" i="3" s="1"/>
  <c r="J30" i="3" s="1"/>
  <c r="G43" i="3"/>
  <c r="I43" i="3" s="1"/>
  <c r="K43" i="3" s="1"/>
  <c r="G35" i="3"/>
  <c r="I35" i="3" s="1"/>
  <c r="K35" i="3" s="1"/>
  <c r="G27" i="3"/>
  <c r="I27" i="3" s="1"/>
  <c r="G26" i="3"/>
  <c r="I26" i="3" s="1"/>
  <c r="G24" i="3"/>
  <c r="I24" i="3" s="1"/>
  <c r="K24" i="3" s="1"/>
  <c r="G44" i="3"/>
  <c r="I44" i="3" s="1"/>
  <c r="K44" i="3" s="1"/>
  <c r="G36" i="3"/>
  <c r="I36" i="3" s="1"/>
  <c r="K36" i="3" s="1"/>
  <c r="G28" i="3"/>
  <c r="I28" i="3" s="1"/>
  <c r="J28" i="3" s="1"/>
  <c r="G41" i="3"/>
  <c r="I41" i="3" s="1"/>
  <c r="K41" i="3" s="1"/>
  <c r="G33" i="3"/>
  <c r="I33" i="3" s="1"/>
  <c r="J33" i="3" s="1"/>
  <c r="G25" i="3"/>
  <c r="I25" i="3" s="1"/>
  <c r="J25" i="3" s="1"/>
  <c r="J45" i="3"/>
  <c r="J32" i="3"/>
  <c r="K25" i="3"/>
  <c r="K26" i="3"/>
  <c r="J26" i="3"/>
  <c r="J38" i="3"/>
  <c r="K27" i="3"/>
  <c r="J27" i="3"/>
  <c r="K42" i="3"/>
  <c r="J42" i="3"/>
  <c r="K40" i="3"/>
  <c r="J31" i="3"/>
  <c r="K31" i="3"/>
  <c r="J39" i="3"/>
  <c r="K39" i="3"/>
  <c r="K34" i="3"/>
  <c r="J34" i="3"/>
  <c r="K48" i="3"/>
  <c r="J48" i="3"/>
  <c r="W124" i="3"/>
  <c r="W119" i="3"/>
  <c r="W106" i="3"/>
  <c r="W85" i="3"/>
  <c r="W72" i="3"/>
  <c r="W56" i="3"/>
  <c r="W40" i="3"/>
  <c r="W24" i="3"/>
  <c r="W122" i="3"/>
  <c r="W117" i="3"/>
  <c r="W93" i="3"/>
  <c r="W82" i="3"/>
  <c r="W68" i="3"/>
  <c r="W52" i="3"/>
  <c r="W36" i="3"/>
  <c r="W20" i="3"/>
  <c r="W132" i="3"/>
  <c r="W127" i="3"/>
  <c r="W116" i="3"/>
  <c r="W111" i="3"/>
  <c r="W101" i="3"/>
  <c r="W90" i="3"/>
  <c r="W64" i="3"/>
  <c r="W48" i="3"/>
  <c r="W32" i="3"/>
  <c r="W16" i="3"/>
  <c r="W130" i="3"/>
  <c r="W125" i="3"/>
  <c r="W114" i="3"/>
  <c r="W109" i="3"/>
  <c r="W98" i="3"/>
  <c r="W76" i="3"/>
  <c r="W60" i="3"/>
  <c r="W44" i="3"/>
  <c r="W28" i="3"/>
  <c r="W108" i="3"/>
  <c r="W103" i="3"/>
  <c r="W100" i="3"/>
  <c r="W95" i="3"/>
  <c r="W92" i="3"/>
  <c r="W87" i="3"/>
  <c r="W84" i="3"/>
  <c r="W79" i="3"/>
  <c r="W129" i="3"/>
  <c r="W126" i="3"/>
  <c r="W121" i="3"/>
  <c r="W118" i="3"/>
  <c r="W113" i="3"/>
  <c r="W110" i="3"/>
  <c r="W105" i="3"/>
  <c r="W102" i="3"/>
  <c r="W97" i="3"/>
  <c r="W94" i="3"/>
  <c r="W89" i="3"/>
  <c r="W86" i="3"/>
  <c r="W81" i="3"/>
  <c r="W78" i="3"/>
  <c r="W74" i="3"/>
  <c r="W70" i="3"/>
  <c r="W66" i="3"/>
  <c r="W62" i="3"/>
  <c r="W58" i="3"/>
  <c r="W54" i="3"/>
  <c r="W50" i="3"/>
  <c r="W46" i="3"/>
  <c r="W42" i="3"/>
  <c r="W38" i="3"/>
  <c r="W34" i="3"/>
  <c r="W30" i="3"/>
  <c r="W26" i="3"/>
  <c r="W22" i="3"/>
  <c r="W18" i="3"/>
  <c r="W131" i="3"/>
  <c r="W128" i="3"/>
  <c r="W123" i="3"/>
  <c r="W120" i="3"/>
  <c r="W115" i="3"/>
  <c r="W112" i="3"/>
  <c r="W107" i="3"/>
  <c r="W104" i="3"/>
  <c r="W99" i="3"/>
  <c r="W96" i="3"/>
  <c r="W91" i="3"/>
  <c r="W88" i="3"/>
  <c r="W83" i="3"/>
  <c r="W80" i="3"/>
  <c r="W77" i="3"/>
  <c r="W75" i="3"/>
  <c r="W73" i="3"/>
  <c r="W71" i="3"/>
  <c r="W69" i="3"/>
  <c r="W67" i="3"/>
  <c r="W65" i="3"/>
  <c r="W63" i="3"/>
  <c r="W61" i="3"/>
  <c r="W59" i="3"/>
  <c r="W57" i="3"/>
  <c r="W55" i="3"/>
  <c r="W53" i="3"/>
  <c r="W51" i="3"/>
  <c r="W49" i="3"/>
  <c r="W47" i="3"/>
  <c r="W45" i="3"/>
  <c r="W43" i="3"/>
  <c r="W41" i="3"/>
  <c r="W39" i="3"/>
  <c r="W37" i="3"/>
  <c r="W35" i="3"/>
  <c r="W33" i="3"/>
  <c r="W31" i="3"/>
  <c r="W29" i="3"/>
  <c r="W27" i="3"/>
  <c r="W25" i="3"/>
  <c r="W23" i="3"/>
  <c r="W21" i="3"/>
  <c r="W19" i="3"/>
  <c r="W17" i="3"/>
  <c r="W15" i="3"/>
  <c r="W13" i="3"/>
  <c r="W11" i="3"/>
  <c r="W14" i="3"/>
  <c r="W12" i="3"/>
  <c r="W10" i="3"/>
  <c r="W9" i="3"/>
  <c r="W4" i="3"/>
  <c r="K30" i="3" l="1"/>
  <c r="J36" i="3"/>
  <c r="J37" i="3"/>
  <c r="K28" i="3"/>
  <c r="K47" i="3"/>
  <c r="J29" i="3"/>
  <c r="K33" i="3"/>
  <c r="J35" i="3"/>
  <c r="J44" i="3"/>
  <c r="J24" i="3"/>
  <c r="J43" i="3"/>
  <c r="J41" i="3"/>
  <c r="J4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A0F10-98AD-4A15-83C9-47EECC6D0423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<sst xmlns="http://schemas.openxmlformats.org/spreadsheetml/2006/main" count="69" uniqueCount="51">
  <si>
    <t>Maturity</t>
  </si>
  <si>
    <t>Yield</t>
  </si>
  <si>
    <t xml:space="preserve">1 </t>
  </si>
  <si>
    <t xml:space="preserve">2 </t>
  </si>
  <si>
    <t xml:space="preserve">3 </t>
  </si>
  <si>
    <t xml:space="preserve">4 </t>
  </si>
  <si>
    <t xml:space="preserve">6 </t>
  </si>
  <si>
    <t xml:space="preserve">5 </t>
  </si>
  <si>
    <t xml:space="preserve">7 </t>
  </si>
  <si>
    <t xml:space="preserve">10 </t>
  </si>
  <si>
    <t xml:space="preserve">20 </t>
  </si>
  <si>
    <t xml:space="preserve">30 </t>
  </si>
  <si>
    <t>Year_Month</t>
  </si>
  <si>
    <t>Target Treasury</t>
  </si>
  <si>
    <t>Interpolated Tsy</t>
  </si>
  <si>
    <t>Interpolated Yield</t>
  </si>
  <si>
    <t>Yield Curve</t>
  </si>
  <si>
    <t>Bond Portfolio Data</t>
  </si>
  <si>
    <t>Settlement Date</t>
  </si>
  <si>
    <t>Maturity Date</t>
  </si>
  <si>
    <t>Coupon Rate</t>
  </si>
  <si>
    <t>Payments Per Year</t>
  </si>
  <si>
    <t>Treasury Pricing</t>
  </si>
  <si>
    <t>Interpolated Treasury</t>
  </si>
  <si>
    <t>Credit Spread (Basis Points)</t>
  </si>
  <si>
    <t>Yield-to-Maturity</t>
  </si>
  <si>
    <t>Price (%)</t>
  </si>
  <si>
    <t>Duration</t>
  </si>
  <si>
    <t>Bond Rating</t>
  </si>
  <si>
    <t>AAA</t>
  </si>
  <si>
    <t>BB</t>
  </si>
  <si>
    <t>AA</t>
  </si>
  <si>
    <t>A-</t>
  </si>
  <si>
    <t>BBB</t>
  </si>
  <si>
    <t>BBB+</t>
  </si>
  <si>
    <t>A</t>
  </si>
  <si>
    <t>BB-</t>
  </si>
  <si>
    <t>NR</t>
  </si>
  <si>
    <t>AA+</t>
  </si>
  <si>
    <t>AA-</t>
  </si>
  <si>
    <t>BBB-</t>
  </si>
  <si>
    <t>AAA-</t>
  </si>
  <si>
    <t>BB+</t>
  </si>
  <si>
    <t>A+</t>
  </si>
  <si>
    <t>Daily Report Email Addresses</t>
  </si>
  <si>
    <t>CFO Email Address:</t>
  </si>
  <si>
    <t>My Email Address:</t>
  </si>
  <si>
    <t xml:space="preserve">File Format: </t>
  </si>
  <si>
    <t>PDF</t>
  </si>
  <si>
    <t>isma.rosero1@gmail.com</t>
  </si>
  <si>
    <t>paraclasebyui@gmail.com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</si>
</sst>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%&quot;\ "/>
    <numFmt numFmtId="165" formatCode="0.000%"/>
    <numFmt numFmtId="166" formatCode="0.0000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rgb="FF4159D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Calibri"/>
      <family val="2"/>
    </font>
    <font>
      <sz val="11"/>
      <color rgb="FF0000FF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Times New Roman"/>
      <family val="1"/>
    </font>
    <font>
      <u/>
      <sz val="11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11" fillId="0" borderId="0"/>
    <xf numFmtId="0" fontId="12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3" xfId="0" applyBorder="1"/>
    <xf numFmtId="0" fontId="0" fillId="0" borderId="5" xfId="0" applyBorder="1"/>
    <xf numFmtId="0" fontId="4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5" fillId="0" borderId="4" xfId="0" applyNumberFormat="1" applyFont="1" applyBorder="1"/>
    <xf numFmtId="165" fontId="0" fillId="0" borderId="6" xfId="1" applyNumberFormat="1" applyFont="1" applyBorder="1"/>
    <xf numFmtId="165" fontId="0" fillId="0" borderId="0" xfId="1" applyNumberFormat="1" applyFont="1" applyAlignment="1">
      <alignment horizontal="center"/>
    </xf>
    <xf numFmtId="0" fontId="9" fillId="3" borderId="12" xfId="0" applyFont="1" applyFill="1" applyBorder="1" applyAlignment="1">
      <alignment horizontal="centerContinuous"/>
    </xf>
    <xf numFmtId="0" fontId="9" fillId="3" borderId="13" xfId="0" applyFont="1" applyFill="1" applyBorder="1" applyAlignment="1">
      <alignment horizontal="centerContinuous"/>
    </xf>
    <xf numFmtId="0" fontId="9" fillId="3" borderId="14" xfId="0" applyFont="1" applyFill="1" applyBorder="1" applyAlignment="1">
      <alignment horizontal="centerContinuous"/>
    </xf>
    <xf numFmtId="0" fontId="10" fillId="4" borderId="0" xfId="0" applyFont="1" applyFill="1"/>
    <xf numFmtId="0" fontId="10" fillId="4" borderId="0" xfId="0" applyFont="1" applyFill="1" applyAlignment="1">
      <alignment horizontal="center"/>
    </xf>
    <xf numFmtId="0" fontId="7" fillId="3" borderId="8" xfId="2" applyFont="1" applyFill="1" applyBorder="1" applyAlignment="1">
      <alignment horizontal="center" wrapText="1"/>
    </xf>
    <xf numFmtId="0" fontId="7" fillId="3" borderId="9" xfId="2" applyFont="1" applyFill="1" applyBorder="1" applyAlignment="1">
      <alignment horizontal="center" wrapText="1"/>
    </xf>
    <xf numFmtId="0" fontId="7" fillId="3" borderId="8" xfId="0" applyFont="1" applyFill="1" applyBorder="1" applyAlignment="1">
      <alignment horizontal="center" wrapText="1"/>
    </xf>
    <xf numFmtId="14" fontId="8" fillId="4" borderId="9" xfId="0" applyNumberFormat="1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165" fontId="10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14" fontId="8" fillId="4" borderId="15" xfId="0" applyNumberFormat="1" applyFont="1" applyFill="1" applyBorder="1" applyAlignment="1">
      <alignment horizontal="center"/>
    </xf>
    <xf numFmtId="165" fontId="8" fillId="4" borderId="17" xfId="0" applyNumberFormat="1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14" fontId="8" fillId="4" borderId="10" xfId="0" applyNumberFormat="1" applyFont="1" applyFill="1" applyBorder="1" applyAlignment="1">
      <alignment horizontal="center"/>
    </xf>
    <xf numFmtId="165" fontId="8" fillId="4" borderId="5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165" fontId="10" fillId="4" borderId="1" xfId="0" applyNumberFormat="1" applyFont="1" applyFill="1" applyBorder="1" applyAlignment="1">
      <alignment horizontal="center"/>
    </xf>
    <xf numFmtId="2" fontId="10" fillId="4" borderId="1" xfId="0" applyNumberFormat="1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0" fontId="8" fillId="4" borderId="3" xfId="1" applyNumberFormat="1" applyFont="1" applyFill="1" applyBorder="1" applyAlignment="1">
      <alignment horizontal="center"/>
    </xf>
    <xf numFmtId="166" fontId="10" fillId="4" borderId="0" xfId="1" applyNumberFormat="1" applyFont="1" applyFill="1" applyBorder="1" applyAlignment="1">
      <alignment horizontal="center"/>
    </xf>
    <xf numFmtId="2" fontId="10" fillId="4" borderId="0" xfId="1" applyNumberFormat="1" applyFont="1" applyFill="1" applyBorder="1" applyAlignment="1">
      <alignment horizontal="center"/>
    </xf>
    <xf numFmtId="166" fontId="10" fillId="4" borderId="2" xfId="1" applyNumberFormat="1" applyFont="1" applyFill="1" applyBorder="1" applyAlignment="1">
      <alignment horizontal="center"/>
    </xf>
    <xf numFmtId="2" fontId="10" fillId="4" borderId="1" xfId="1" applyNumberFormat="1" applyFont="1" applyFill="1" applyBorder="1" applyAlignment="1">
      <alignment horizontal="center"/>
    </xf>
    <xf numFmtId="166" fontId="10" fillId="4" borderId="1" xfId="1" applyNumberFormat="1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2" fontId="8" fillId="4" borderId="0" xfId="0" applyNumberFormat="1" applyFont="1" applyFill="1" applyAlignment="1">
      <alignment horizontal="center"/>
    </xf>
    <xf numFmtId="165" fontId="10" fillId="4" borderId="0" xfId="0" applyNumberFormat="1" applyFont="1" applyFill="1" applyAlignment="1">
      <alignment horizontal="center"/>
    </xf>
    <xf numFmtId="2" fontId="10" fillId="4" borderId="0" xfId="0" applyNumberFormat="1" applyFont="1" applyFill="1" applyAlignment="1">
      <alignment horizontal="center"/>
    </xf>
    <xf numFmtId="0" fontId="1" fillId="6" borderId="3" xfId="0" applyFont="1" applyFill="1" applyBorder="1"/>
    <xf numFmtId="0" fontId="1" fillId="6" borderId="5" xfId="0" applyFont="1" applyFill="1" applyBorder="1"/>
    <xf numFmtId="0" fontId="1" fillId="0" borderId="12" xfId="0" applyFont="1" applyBorder="1"/>
    <xf numFmtId="0" fontId="5" fillId="0" borderId="14" xfId="0" applyFont="1" applyBorder="1" applyAlignment="1">
      <alignment horizontal="center"/>
    </xf>
    <xf numFmtId="0" fontId="12" fillId="6" borderId="4" xfId="3" applyFill="1" applyBorder="1"/>
    <xf numFmtId="0" fontId="12" fillId="0" borderId="0" xfId="3"/>
    <xf numFmtId="0" fontId="12" fillId="6" borderId="6" xfId="3" applyFill="1" applyBorder="1"/>
    <xf numFmtId="0" fontId="6" fillId="2" borderId="7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_Sheet1" xfId="2" xr:uid="{7D99987F-A84F-4CDF-988D-D17977D15194}"/>
    <cellStyle name="Percent" xfId="1" builtinId="5"/>
  </cellStyles>
  <dxfs count="16"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0.00&quot;%&quot;\ 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0&quot;%&quot;\ 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159D3"/>
      <color rgb="FF524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U.S Treasury Yield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'Bond Pricing'!$B$5:$B$17</c:f>
              <c:strCache>
                <c:ptCount val="13"/>
                <c:pt idx="0">
                  <c:v>1 </c:v>
                </c:pt>
                <c:pt idx="1">
                  <c:v>2 </c:v>
                </c:pt>
                <c:pt idx="2">
                  <c:v>3 </c:v>
                </c:pt>
                <c:pt idx="3">
                  <c:v>4 </c:v>
                </c:pt>
                <c:pt idx="4">
                  <c:v>6 </c:v>
                </c:pt>
                <c:pt idx="5">
                  <c:v>1 </c:v>
                </c:pt>
                <c:pt idx="6">
                  <c:v>2 </c:v>
                </c:pt>
                <c:pt idx="7">
                  <c:v>3 </c:v>
                </c:pt>
                <c:pt idx="8">
                  <c:v>5 </c:v>
                </c:pt>
                <c:pt idx="9">
                  <c:v>7 </c:v>
                </c:pt>
                <c:pt idx="10">
                  <c:v>10 </c:v>
                </c:pt>
                <c:pt idx="11">
                  <c:v>20 </c:v>
                </c:pt>
                <c:pt idx="12">
                  <c:v>30 </c:v>
                </c:pt>
              </c:strCache>
            </c:strRef>
          </c:xVal>
          <c:yVal>
            <c:numRef>
              <c:f>'Bond Pricing'!$C$5:$C$17</c:f>
              <c:numCache>
                <c:formatCode>0.00"%"\ </c:formatCode>
                <c:ptCount val="13"/>
                <c:pt idx="0">
                  <c:v>4.57</c:v>
                </c:pt>
                <c:pt idx="1">
                  <c:v>4.5</c:v>
                </c:pt>
                <c:pt idx="2">
                  <c:v>4.42</c:v>
                </c:pt>
                <c:pt idx="3">
                  <c:v>4.42</c:v>
                </c:pt>
                <c:pt idx="4">
                  <c:v>4.34</c:v>
                </c:pt>
                <c:pt idx="5">
                  <c:v>4.1900000000000004</c:v>
                </c:pt>
                <c:pt idx="6">
                  <c:v>4.0999999999999996</c:v>
                </c:pt>
                <c:pt idx="7">
                  <c:v>4.05</c:v>
                </c:pt>
                <c:pt idx="8">
                  <c:v>4.03</c:v>
                </c:pt>
                <c:pt idx="9">
                  <c:v>4.09</c:v>
                </c:pt>
                <c:pt idx="10">
                  <c:v>4.1500000000000004</c:v>
                </c:pt>
                <c:pt idx="11">
                  <c:v>4.42</c:v>
                </c:pt>
                <c:pt idx="12">
                  <c:v>4.34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EB-40DE-91D2-5B1CB03E3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085439"/>
        <c:axId val="1098092639"/>
      </c:scatterChart>
      <c:valAx>
        <c:axId val="1098085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092639"/>
        <c:crosses val="autoZero"/>
        <c:crossBetween val="midCat"/>
      </c:valAx>
      <c:valAx>
        <c:axId val="109809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Yield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&quot;%&quot;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085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131444</xdr:colOff>
      <xdr:row>0</xdr:row>
      <xdr:rowOff>171449</xdr:rowOff>
    </xdr:from>
    <xdr:to>
      <xdr:col>12</xdr:col>
      <xdr:colOff>0</xdr:colOff>
      <xdr:row>17</xdr:row>
      <xdr:rowOff>108858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CB8B4A-1E1B-4265-DEFE-7670F6946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466726</xdr:colOff>
      <xdr:row>17</xdr:row>
      <xdr:rowOff>76200</xdr:rowOff>
    </xdr:from>
    <xdr:to>
      <xdr:col>16</xdr:col>
      <xdr:colOff>257175</xdr:colOff>
      <xdr:row>21</xdr:row>
      <xdr:rowOff>61913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13E7982-11FB-5D01-2481-B1328565BFB5}"/>
            </a:ext>
          </a:extLst>
        </xdr:cNvPr>
        <xdr:cNvSpPr txBox="1"/>
      </xdr:nvSpPr>
      <xdr:spPr>
        <a:xfrm>
          <a:off x="4152901" y="3152775"/>
          <a:ext cx="5291137" cy="7096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kern="1200"/>
            <a:t>Excel.CurrentWorkbook(){[Name="YC_Table_2"]}[Content]{0}[Year_Month]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A71A0E1-BC4B-4116-AD1E-9C68F1357070}" autoFormatId="16" applyNumberFormats="0" applyBorderFormats="0" applyFontFormats="0" applyPatternFormats="0" applyAlignmentFormats="0" applyWidthHeightFormats="0">
  <queryTableRefresh nextId="17">
    <queryTableFields count="2">
      <queryTableField id="15" name="Maturity" tableColumnId="15"/>
      <queryTableField id="16" name="Yield" tableColumnId="1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D0FCC-1BB4-4319-BA0C-89BB9F42432A}" name="Table3" displayName="Table3" ref="R3:S11" totalsRowShown="0" headerRowDxfId="15">
  <autoFilter ref="R3:S11" xr:uid="{FE6D0FCC-1BB4-4319-BA0C-89BB9F42432A}">
    <filterColumn colId="0" hiddenButton="1"/>
    <filterColumn colId="1" hiddenButton="1"/>
  </autoFilter>
  <tableColumns count="2">
    <tableColumn id="1" xr3:uid="{F1CE5EFB-BF23-44FA-96E8-713F2FB733F6}" name="Maturity" dataDxfId="14"/>
    <tableColumn id="2" xr3:uid="{992B259F-F81E-4D42-A464-0CF4E35CB9A6}" name="Yield" dataDxfId="13" dataCellStyle="Percent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92E129-EF0C-4145-9651-E56B2FA4F81D}" name="Table4" displayName="Table4" ref="B4:C17" totalsRowShown="0" headerRowDxfId="12">
  <autoFilter ref="B4:C17" xr:uid="{9392E129-EF0C-4145-9651-E56B2FA4F81D}">
    <filterColumn colId="0" hiddenButton="1"/>
    <filterColumn colId="1" hiddenButton="1"/>
  </autoFilter>
  <tableColumns count="2">
    <tableColumn id="1" xr3:uid="{5F9EB35E-B491-4713-81F5-0BA501171C00}" name="Maturity" dataDxfId="11">
      <calculatedColumnFormula>Table_1[[#This Row],[Maturity]]</calculatedColumnFormula>
    </tableColumn>
    <tableColumn id="2" xr3:uid="{382C6735-9460-4E0E-9B78-B04DE6EF4EAE}" name="Yield" dataDxfId="10">
      <calculatedColumnFormula>Table_1[[#This Row],[Yield]]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CE4D5B-C27C-4CAA-BC23-D55F5C2C5469}" name="Table_1" displayName="Table_1" ref="B4:C17" tableType="queryTable" totalsRowShown="0" headerRowDxfId="9" dataDxfId="8">
  <autoFilter ref="B4:C17" xr:uid="{88CE4D5B-C27C-4CAA-BC23-D55F5C2C5469}">
    <filterColumn colId="0" hiddenButton="1"/>
    <filterColumn colId="1" hiddenButton="1"/>
  </autoFilter>
  <tableColumns count="2">
    <tableColumn id="15" xr3:uid="{3305C2A4-3174-4228-9A1D-E634DCC70B80}" uniqueName="15" name="Maturity" queryTableFieldId="15" dataDxfId="7"/>
    <tableColumn id="16" xr3:uid="{73610D9E-6303-47F8-A02F-0E4E96E41DD0}" uniqueName="16" name="Yield" queryTableFieldId="16" dataDxfId="6"/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A4B591-C4C1-4862-8887-F4FCC2D3326E}" name="YC_Table_2" displayName="YC_Table_2" ref="B20:B21" totalsRowShown="0" headerRowDxfId="5" dataDxfId="3" headerRowBorderDxfId="4" tableBorderDxfId="2" totalsRowBorderDxfId="1">
  <autoFilter ref="B20:B21" xr:uid="{0BA4B591-C4C1-4862-8887-F4FCC2D3326E}">
    <filterColumn colId="0" hiddenButton="1"/>
  </autoFilter>
  <tableColumns count="1">
    <tableColumn id="1" xr3:uid="{6578C464-C63E-4B63-9E43-D7220187A58B}" name="Year_Month" dataDxfId="0">
      <calculatedColumnFormula>TEXT(YEAR(TODAY()),"0000") &amp; TEXT(MONTH(TODAY()),"00")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isma.rosero1@gmail.com" TargetMode="External"/><Relationship Id="rId1" Type="http://schemas.openxmlformats.org/officeDocument/2006/relationships/hyperlink" Target="mailto:paraclasebyui@gmail.co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AFBF5-8063-42E2-98EA-A33C2772BCEF}">
  <sheetPr codeName="Sheet1"/>
  <dimension ref="B2:W132"/>
  <sheetViews>
    <sheetView showGridLines="0" tabSelected="1" zoomScale="70" zoomScaleNormal="70" workbookViewId="0">
      <selection activeCell="M17" sqref="M17"/>
    </sheetView>
  </sheetViews>
  <sheetFormatPr baseColWidth="10" defaultColWidth="8.83203125" defaultRowHeight="15" x14ac:dyDescent="0.2"/>
  <cols>
    <col min="2" max="2" width="14.5" customWidth="1"/>
    <col min="3" max="3" width="13.1640625" customWidth="1"/>
    <col min="4" max="12" width="12.5" customWidth="1"/>
    <col min="14" max="14" width="19.33203125" customWidth="1"/>
    <col min="15" max="15" width="23.1640625" customWidth="1"/>
    <col min="18" max="18" width="9.1640625" customWidth="1"/>
    <col min="21" max="21" width="7.33203125" customWidth="1"/>
    <col min="22" max="22" width="16.33203125" customWidth="1"/>
    <col min="23" max="23" width="15.1640625" customWidth="1"/>
  </cols>
  <sheetData>
    <row r="2" spans="2:23" x14ac:dyDescent="0.2">
      <c r="B2" s="54" t="s">
        <v>16</v>
      </c>
      <c r="C2" s="55"/>
      <c r="N2" s="56" t="s">
        <v>44</v>
      </c>
      <c r="O2" s="57"/>
    </row>
    <row r="3" spans="2:23" x14ac:dyDescent="0.2">
      <c r="N3" s="47" t="s">
        <v>45</v>
      </c>
      <c r="O3" s="51" t="s">
        <v>49</v>
      </c>
      <c r="R3" s="1" t="s">
        <v>0</v>
      </c>
      <c r="S3" s="1" t="s">
        <v>1</v>
      </c>
      <c r="V3" s="6" t="s">
        <v>13</v>
      </c>
      <c r="W3" s="10">
        <v>15</v>
      </c>
    </row>
    <row r="4" spans="2:23" x14ac:dyDescent="0.2">
      <c r="B4" s="1" t="s">
        <v>0</v>
      </c>
      <c r="C4" s="1" t="s">
        <v>1</v>
      </c>
      <c r="N4" s="48" t="s">
        <v>46</v>
      </c>
      <c r="O4" s="53" t="s">
        <v>50</v>
      </c>
      <c r="R4" s="1">
        <v>1</v>
      </c>
      <c r="S4" s="5">
        <v>0.05</v>
      </c>
      <c r="V4" s="7" t="s">
        <v>14</v>
      </c>
      <c r="W4" s="11" cm="1">
        <f t="array" ref="W4">Tsy_Interp(W3, R4:R11, S4:S11)</f>
        <v>4.4250000000000005E-2</v>
      </c>
    </row>
    <row r="5" spans="2:23" x14ac:dyDescent="0.2">
      <c r="B5" s="1" t="str">
        <f>Table_1[[#This Row],[Maturity]]</f>
        <v xml:space="preserve">1 </v>
      </c>
      <c r="C5" s="2">
        <f>Table_1[[#This Row],[Yield]]</f>
        <v>4.57</v>
      </c>
      <c r="R5" s="1">
        <v>2</v>
      </c>
      <c r="S5" s="5">
        <v>4.5999999999999999E-2</v>
      </c>
    </row>
    <row r="6" spans="2:23" x14ac:dyDescent="0.2">
      <c r="B6" s="1" t="str">
        <f>Table_1[[#This Row],[Maturity]]</f>
        <v xml:space="preserve">2 </v>
      </c>
      <c r="C6" s="2">
        <f>Table_1[[#This Row],[Yield]]</f>
        <v>4.5</v>
      </c>
      <c r="N6" s="49" t="s">
        <v>47</v>
      </c>
      <c r="O6" s="50" t="s">
        <v>48</v>
      </c>
      <c r="R6" s="1">
        <v>3</v>
      </c>
      <c r="S6" s="5">
        <v>4.3999999999999997E-2</v>
      </c>
    </row>
    <row r="7" spans="2:23" x14ac:dyDescent="0.2">
      <c r="B7" s="1" t="str">
        <f>Table_1[[#This Row],[Maturity]]</f>
        <v xml:space="preserve">3 </v>
      </c>
      <c r="C7" s="2">
        <f>Table_1[[#This Row],[Yield]]</f>
        <v>4.42</v>
      </c>
      <c r="R7" s="1">
        <v>5</v>
      </c>
      <c r="S7" s="5">
        <v>4.2000000000000003E-2</v>
      </c>
    </row>
    <row r="8" spans="2:23" x14ac:dyDescent="0.2">
      <c r="B8" s="1" t="str">
        <f>Table_1[[#This Row],[Maturity]]</f>
        <v xml:space="preserve">4 </v>
      </c>
      <c r="C8" s="2">
        <f>Table_1[[#This Row],[Yield]]</f>
        <v>4.42</v>
      </c>
      <c r="R8" s="1">
        <v>7</v>
      </c>
      <c r="S8" s="5">
        <v>4.2199999999999994E-2</v>
      </c>
      <c r="V8" s="8" t="s">
        <v>0</v>
      </c>
      <c r="W8" s="8" t="s">
        <v>15</v>
      </c>
    </row>
    <row r="9" spans="2:23" x14ac:dyDescent="0.2">
      <c r="B9" s="1" t="str">
        <f>Table_1[[#This Row],[Maturity]]</f>
        <v xml:space="preserve">6 </v>
      </c>
      <c r="C9" s="2">
        <f>Table_1[[#This Row],[Yield]]</f>
        <v>4.34</v>
      </c>
      <c r="R9" s="1">
        <v>10</v>
      </c>
      <c r="S9" s="5">
        <v>4.2800000000000005E-2</v>
      </c>
      <c r="U9">
        <v>1</v>
      </c>
      <c r="V9" s="9">
        <v>0.5</v>
      </c>
      <c r="W9" s="12" cm="1">
        <f t="array" ref="W9">Tsy_Interp(V9,Table3[Maturity],Table3[Yield])</f>
        <v>5.2000000000000005E-2</v>
      </c>
    </row>
    <row r="10" spans="2:23" x14ac:dyDescent="0.2">
      <c r="B10" s="1" t="str">
        <f>Table_1[[#This Row],[Maturity]]</f>
        <v xml:space="preserve">1 </v>
      </c>
      <c r="C10" s="2">
        <f>Table_1[[#This Row],[Yield]]</f>
        <v>4.1900000000000004</v>
      </c>
      <c r="R10" s="1">
        <v>20</v>
      </c>
      <c r="S10" s="5">
        <v>4.5700000000000005E-2</v>
      </c>
      <c r="U10">
        <v>2</v>
      </c>
      <c r="V10" s="1">
        <v>0.75</v>
      </c>
      <c r="W10" s="12" cm="1">
        <f t="array" ref="W10">Tsy_Interp(V10,Table3[Maturity],Table3[Yield])</f>
        <v>5.1000000000000004E-2</v>
      </c>
    </row>
    <row r="11" spans="2:23" x14ac:dyDescent="0.2">
      <c r="B11" s="1" t="str">
        <f>Table_1[[#This Row],[Maturity]]</f>
        <v xml:space="preserve">2 </v>
      </c>
      <c r="C11" s="2">
        <f>Table_1[[#This Row],[Yield]]</f>
        <v>4.0999999999999996</v>
      </c>
      <c r="R11" s="1">
        <v>30</v>
      </c>
      <c r="S11" s="5">
        <v>4.4600000000000001E-2</v>
      </c>
      <c r="U11">
        <v>3</v>
      </c>
      <c r="V11" s="9">
        <v>1</v>
      </c>
      <c r="W11" s="12" cm="1">
        <f t="array" ref="W11">Tsy_Interp(V11,Table3[Maturity],Table3[Yield])</f>
        <v>0.05</v>
      </c>
    </row>
    <row r="12" spans="2:23" x14ac:dyDescent="0.2">
      <c r="B12" s="1" t="str">
        <f>Table_1[[#This Row],[Maturity]]</f>
        <v xml:space="preserve">3 </v>
      </c>
      <c r="C12" s="2">
        <f>Table_1[[#This Row],[Yield]]</f>
        <v>4.05</v>
      </c>
      <c r="U12">
        <v>4</v>
      </c>
      <c r="V12" s="1">
        <v>1.25</v>
      </c>
      <c r="W12" s="12" cm="1">
        <f t="array" ref="W12">Tsy_Interp(V12,Table3[Maturity],Table3[Yield])</f>
        <v>4.9000000000000002E-2</v>
      </c>
    </row>
    <row r="13" spans="2:23" x14ac:dyDescent="0.2">
      <c r="B13" s="1" t="str">
        <f>Table_1[[#This Row],[Maturity]]</f>
        <v xml:space="preserve">5 </v>
      </c>
      <c r="C13" s="2">
        <f>Table_1[[#This Row],[Yield]]</f>
        <v>4.03</v>
      </c>
      <c r="U13">
        <v>5</v>
      </c>
      <c r="V13" s="9">
        <v>1.5</v>
      </c>
      <c r="W13" s="12" cm="1">
        <f t="array" ref="W13">Tsy_Interp(V13,Table3[Maturity],Table3[Yield])</f>
        <v>4.8000000000000001E-2</v>
      </c>
    </row>
    <row r="14" spans="2:23" x14ac:dyDescent="0.2">
      <c r="B14" s="1" t="str">
        <f>Table_1[[#This Row],[Maturity]]</f>
        <v xml:space="preserve">7 </v>
      </c>
      <c r="C14" s="2">
        <f>Table_1[[#This Row],[Yield]]</f>
        <v>4.09</v>
      </c>
      <c r="U14">
        <v>6</v>
      </c>
      <c r="V14" s="1">
        <v>1.75</v>
      </c>
      <c r="W14" s="12" cm="1">
        <f t="array" ref="W14">Tsy_Interp(V14,Table3[Maturity],Table3[Yield])</f>
        <v>4.7E-2</v>
      </c>
    </row>
    <row r="15" spans="2:23" x14ac:dyDescent="0.2">
      <c r="B15" s="1" t="str">
        <f>Table_1[[#This Row],[Maturity]]</f>
        <v xml:space="preserve">10 </v>
      </c>
      <c r="C15" s="2">
        <f>Table_1[[#This Row],[Yield]]</f>
        <v>4.1500000000000004</v>
      </c>
      <c r="U15">
        <v>7</v>
      </c>
      <c r="V15" s="9">
        <v>2</v>
      </c>
      <c r="W15" s="12" cm="1">
        <f t="array" ref="W15">Tsy_Interp(V15,Table3[Maturity],Table3[Yield])</f>
        <v>4.5999999999999999E-2</v>
      </c>
    </row>
    <row r="16" spans="2:23" x14ac:dyDescent="0.2">
      <c r="B16" s="1" t="str">
        <f>Table_1[[#This Row],[Maturity]]</f>
        <v xml:space="preserve">20 </v>
      </c>
      <c r="C16" s="2">
        <f>Table_1[[#This Row],[Yield]]</f>
        <v>4.42</v>
      </c>
      <c r="U16">
        <v>8</v>
      </c>
      <c r="V16" s="1">
        <v>2.25</v>
      </c>
      <c r="W16" s="12" cm="1">
        <f t="array" ref="W16">Tsy_Interp(V16,Table3[Maturity],Table3[Yield])</f>
        <v>4.5499999999999999E-2</v>
      </c>
    </row>
    <row r="17" spans="2:23" x14ac:dyDescent="0.2">
      <c r="B17" s="1" t="str">
        <f>Table_1[[#This Row],[Maturity]]</f>
        <v xml:space="preserve">30 </v>
      </c>
      <c r="C17" s="2">
        <f>Table_1[[#This Row],[Yield]]</f>
        <v>4.34</v>
      </c>
      <c r="O17" s="52"/>
      <c r="U17">
        <v>9</v>
      </c>
      <c r="V17" s="9">
        <v>2.5</v>
      </c>
      <c r="W17" s="12" cm="1">
        <f t="array" ref="W17">Tsy_Interp(V17,Table3[Maturity],Table3[Yield])</f>
        <v>4.4999999999999998E-2</v>
      </c>
    </row>
    <row r="18" spans="2:23" x14ac:dyDescent="0.2">
      <c r="U18">
        <v>10</v>
      </c>
      <c r="V18" s="1">
        <v>2.75</v>
      </c>
      <c r="W18" s="12" cm="1">
        <f t="array" ref="W18">Tsy_Interp(V18,Table3[Maturity],Table3[Yield])</f>
        <v>4.4499999999999998E-2</v>
      </c>
    </row>
    <row r="19" spans="2:23" x14ac:dyDescent="0.2">
      <c r="U19">
        <v>11</v>
      </c>
      <c r="V19" s="9">
        <v>3</v>
      </c>
      <c r="W19" s="12" cm="1">
        <f t="array" ref="W19">Tsy_Interp(V19,Table3[Maturity],Table3[Yield])</f>
        <v>4.3999999999999997E-2</v>
      </c>
    </row>
    <row r="20" spans="2:23" x14ac:dyDescent="0.2">
      <c r="U20">
        <v>12</v>
      </c>
      <c r="V20" s="1">
        <v>3.25</v>
      </c>
      <c r="W20" s="12" cm="1">
        <f t="array" ref="W20">Tsy_Interp(V20,Table3[Maturity],Table3[Yield])</f>
        <v>4.3749999999999997E-2</v>
      </c>
    </row>
    <row r="21" spans="2:23" x14ac:dyDescent="0.2">
      <c r="B21" s="13" t="s">
        <v>17</v>
      </c>
      <c r="C21" s="14"/>
      <c r="D21" s="14"/>
      <c r="E21" s="14"/>
      <c r="F21" s="14"/>
      <c r="G21" s="14"/>
      <c r="H21" s="14"/>
      <c r="I21" s="14"/>
      <c r="J21" s="14"/>
      <c r="K21" s="14"/>
      <c r="L21" s="15"/>
      <c r="U21">
        <v>13</v>
      </c>
      <c r="V21" s="9">
        <v>3.5</v>
      </c>
      <c r="W21" s="12" cm="1">
        <f t="array" ref="W21">Tsy_Interp(V21,Table3[Maturity],Table3[Yield])</f>
        <v>4.3499999999999997E-2</v>
      </c>
    </row>
    <row r="22" spans="2:23" x14ac:dyDescent="0.2">
      <c r="B22" s="16"/>
      <c r="C22" s="16"/>
      <c r="D22" s="16"/>
      <c r="E22" s="16"/>
      <c r="F22" s="16"/>
      <c r="G22" s="17"/>
      <c r="H22" s="17"/>
      <c r="I22" s="17"/>
      <c r="J22" s="16"/>
      <c r="K22" s="16"/>
      <c r="L22" s="16"/>
      <c r="U22">
        <v>14</v>
      </c>
      <c r="V22" s="1">
        <v>3.75</v>
      </c>
      <c r="W22" s="12" cm="1">
        <f t="array" ref="W22">Tsy_Interp(V22,Table3[Maturity],Table3[Yield])</f>
        <v>4.3249999999999997E-2</v>
      </c>
    </row>
    <row r="23" spans="2:23" ht="32" x14ac:dyDescent="0.2">
      <c r="B23" s="18" t="s">
        <v>18</v>
      </c>
      <c r="C23" s="19" t="s">
        <v>19</v>
      </c>
      <c r="D23" s="19" t="s">
        <v>20</v>
      </c>
      <c r="E23" s="18" t="s">
        <v>21</v>
      </c>
      <c r="F23" s="18" t="s">
        <v>22</v>
      </c>
      <c r="G23" s="18" t="s">
        <v>23</v>
      </c>
      <c r="H23" s="18" t="s">
        <v>24</v>
      </c>
      <c r="I23" s="18" t="s">
        <v>25</v>
      </c>
      <c r="J23" s="18" t="s">
        <v>26</v>
      </c>
      <c r="K23" s="18" t="s">
        <v>27</v>
      </c>
      <c r="L23" s="20" t="s">
        <v>28</v>
      </c>
      <c r="U23">
        <v>15</v>
      </c>
      <c r="V23" s="9">
        <v>4</v>
      </c>
      <c r="W23" s="12" cm="1">
        <f t="array" ref="W23">Tsy_Interp(V23,Table3[Maturity],Table3[Yield])</f>
        <v>4.2999999999999997E-2</v>
      </c>
    </row>
    <row r="24" spans="2:23" x14ac:dyDescent="0.2">
      <c r="B24" s="21">
        <v>45483</v>
      </c>
      <c r="C24" s="21">
        <v>46217</v>
      </c>
      <c r="D24" s="37">
        <v>5.586E-2</v>
      </c>
      <c r="E24" s="22">
        <v>2</v>
      </c>
      <c r="F24" s="23">
        <v>2</v>
      </c>
      <c r="G24" s="40" cm="1">
        <f t="array" ref="G24">Tsy_Interp(F24, $B$5:$B$17, $C$5:$C$17)</f>
        <v>4.5</v>
      </c>
      <c r="H24" s="22">
        <v>85</v>
      </c>
      <c r="I24" s="24">
        <f>G24+(H24/10000)</f>
        <v>4.5084999999999997</v>
      </c>
      <c r="J24" s="39">
        <f>PRICE(B24, C24, D24, I24,100, E24, 0)</f>
        <v>2.0545251976436751</v>
      </c>
      <c r="K24" s="25">
        <f>DURATION(B24,C24,D24,I24,E24)</f>
        <v>0.55004125451399577</v>
      </c>
      <c r="L24" s="26" t="s">
        <v>29</v>
      </c>
      <c r="U24">
        <v>16</v>
      </c>
      <c r="V24" s="1">
        <v>4.25</v>
      </c>
      <c r="W24" s="12" cm="1">
        <f t="array" ref="W24">Tsy_Interp(V24,Table3[Maturity],Table3[Yield])</f>
        <v>4.2750000000000003E-2</v>
      </c>
    </row>
    <row r="25" spans="2:23" x14ac:dyDescent="0.2">
      <c r="B25" s="27">
        <v>45483</v>
      </c>
      <c r="C25" s="27">
        <v>46991</v>
      </c>
      <c r="D25" s="28">
        <v>5.4150000000000004E-2</v>
      </c>
      <c r="E25" s="43">
        <v>2</v>
      </c>
      <c r="F25" s="44">
        <v>3</v>
      </c>
      <c r="G25" s="38" cm="1">
        <f t="array" ref="G25">Tsy_Interp(F25, $B$5:$B$17, $C$5:$C$17)</f>
        <v>4.42</v>
      </c>
      <c r="H25" s="43">
        <v>88</v>
      </c>
      <c r="I25" s="45">
        <f t="shared" ref="I25:I48" si="0">G25+(H25/10000)</f>
        <v>4.4287999999999998</v>
      </c>
      <c r="J25" s="39">
        <f t="shared" ref="J25:J48" si="1">PRICE(B25, C25, D25, I25,100, E25, 0)</f>
        <v>0.90706630967305024</v>
      </c>
      <c r="K25" s="46">
        <f t="shared" ref="K25:K48" si="2">DURATION(B25,C25,D25,I25,E25)</f>
        <v>0.36185732584655417</v>
      </c>
      <c r="L25" s="29" t="s">
        <v>29</v>
      </c>
      <c r="U25">
        <v>17</v>
      </c>
      <c r="V25" s="9">
        <v>4.5</v>
      </c>
      <c r="W25" s="12" cm="1">
        <f t="array" ref="W25">Tsy_Interp(V25,Table3[Maturity],Table3[Yield])</f>
        <v>4.2500000000000003E-2</v>
      </c>
    </row>
    <row r="26" spans="2:23" x14ac:dyDescent="0.2">
      <c r="B26" s="27">
        <v>45483</v>
      </c>
      <c r="C26" s="27">
        <v>47767</v>
      </c>
      <c r="D26" s="28">
        <v>8.4815000000000002E-2</v>
      </c>
      <c r="E26" s="43">
        <v>2</v>
      </c>
      <c r="F26" s="44">
        <v>5.5</v>
      </c>
      <c r="G26" s="38" cm="1">
        <f t="array" ref="G26">Tsy_Interp(F26, $B$5:$B$17, $C$5:$C$17)</f>
        <v>4.3599999999999994</v>
      </c>
      <c r="H26" s="43">
        <v>350</v>
      </c>
      <c r="I26" s="45">
        <f t="shared" si="0"/>
        <v>4.3949999999999996</v>
      </c>
      <c r="J26" s="39">
        <f t="shared" si="1"/>
        <v>1.3318145871235134</v>
      </c>
      <c r="K26" s="46">
        <f t="shared" si="2"/>
        <v>0.48038918743107745</v>
      </c>
      <c r="L26" s="29" t="s">
        <v>30</v>
      </c>
      <c r="U26">
        <v>18</v>
      </c>
      <c r="V26" s="1">
        <v>4.75</v>
      </c>
      <c r="W26" s="12" cm="1">
        <f t="array" ref="W26">Tsy_Interp(V26,Table3[Maturity],Table3[Yield])</f>
        <v>4.2250000000000003E-2</v>
      </c>
    </row>
    <row r="27" spans="2:23" x14ac:dyDescent="0.2">
      <c r="B27" s="27">
        <v>45483</v>
      </c>
      <c r="C27" s="27">
        <v>48178</v>
      </c>
      <c r="D27" s="28">
        <v>5.883E-2</v>
      </c>
      <c r="E27" s="43">
        <v>2</v>
      </c>
      <c r="F27" s="44">
        <v>5</v>
      </c>
      <c r="G27" s="38" cm="1">
        <f t="array" ref="G27">Tsy_Interp(F27, $B$5:$B$17, $C$5:$C$17)</f>
        <v>4.38</v>
      </c>
      <c r="H27" s="43">
        <v>150</v>
      </c>
      <c r="I27" s="45">
        <f t="shared" si="0"/>
        <v>4.3949999999999996</v>
      </c>
      <c r="J27" s="39">
        <f t="shared" si="1"/>
        <v>1.059405617135055</v>
      </c>
      <c r="K27" s="46">
        <f t="shared" si="2"/>
        <v>0.60532241273351162</v>
      </c>
      <c r="L27" s="29" t="s">
        <v>31</v>
      </c>
      <c r="U27">
        <v>19</v>
      </c>
      <c r="V27" s="9">
        <v>5</v>
      </c>
      <c r="W27" s="12" cm="1">
        <f t="array" ref="W27">Tsy_Interp(V27,Table3[Maturity],Table3[Yield])</f>
        <v>4.2000000000000003E-2</v>
      </c>
    </row>
    <row r="28" spans="2:23" x14ac:dyDescent="0.2">
      <c r="B28" s="27">
        <v>45483</v>
      </c>
      <c r="C28" s="27">
        <v>49670</v>
      </c>
      <c r="D28" s="28">
        <v>5.9269999999999996E-2</v>
      </c>
      <c r="E28" s="43">
        <v>4</v>
      </c>
      <c r="F28" s="44">
        <v>10</v>
      </c>
      <c r="G28" s="38" cm="1">
        <f t="array" ref="G28">Tsy_Interp(F28, $B$5:$B$17, $C$5:$C$17)</f>
        <v>4.1500000000000004</v>
      </c>
      <c r="H28" s="43">
        <v>225</v>
      </c>
      <c r="I28" s="45">
        <f t="shared" si="0"/>
        <v>4.1725000000000003</v>
      </c>
      <c r="J28" s="39">
        <f t="shared" si="1"/>
        <v>1.3608911258096954</v>
      </c>
      <c r="K28" s="46">
        <f t="shared" si="2"/>
        <v>0.45355335863531693</v>
      </c>
      <c r="L28" s="29" t="s">
        <v>32</v>
      </c>
      <c r="U28">
        <v>20</v>
      </c>
      <c r="V28" s="1">
        <v>5.25</v>
      </c>
      <c r="W28" s="12" cm="1">
        <f t="array" ref="W28">Tsy_Interp(V28,Table3[Maturity],Table3[Yield])</f>
        <v>4.2025E-2</v>
      </c>
    </row>
    <row r="29" spans="2:23" x14ac:dyDescent="0.2">
      <c r="B29" s="27">
        <v>45483</v>
      </c>
      <c r="C29" s="27">
        <v>50081</v>
      </c>
      <c r="D29" s="28">
        <v>7.2270000000000001E-2</v>
      </c>
      <c r="E29" s="43">
        <v>2</v>
      </c>
      <c r="F29" s="44">
        <v>10</v>
      </c>
      <c r="G29" s="38" cm="1">
        <f t="array" ref="G29">Tsy_Interp(F29, $B$5:$B$17, $C$5:$C$17)</f>
        <v>4.1500000000000004</v>
      </c>
      <c r="H29" s="43">
        <v>285</v>
      </c>
      <c r="I29" s="45">
        <f t="shared" si="0"/>
        <v>4.1785000000000005</v>
      </c>
      <c r="J29" s="39">
        <f t="shared" si="1"/>
        <v>1.4161476241551596</v>
      </c>
      <c r="K29" s="46">
        <f t="shared" si="2"/>
        <v>0.32265366372313853</v>
      </c>
      <c r="L29" s="29" t="s">
        <v>33</v>
      </c>
      <c r="U29">
        <v>21</v>
      </c>
      <c r="V29" s="9">
        <v>5.5</v>
      </c>
      <c r="W29" s="12" cm="1">
        <f t="array" ref="W29">Tsy_Interp(V29,Table3[Maturity],Table3[Yield])</f>
        <v>4.2050000000000004E-2</v>
      </c>
    </row>
    <row r="30" spans="2:23" x14ac:dyDescent="0.2">
      <c r="B30" s="27">
        <v>45483</v>
      </c>
      <c r="C30" s="27">
        <v>50493</v>
      </c>
      <c r="D30" s="28">
        <v>7.1382500000000002E-2</v>
      </c>
      <c r="E30" s="43">
        <v>4</v>
      </c>
      <c r="F30" s="44">
        <v>12.5</v>
      </c>
      <c r="G30" s="38" cm="1">
        <f t="array" ref="G30">Tsy_Interp(F30, $B$5:$B$17, $C$5:$C$17)</f>
        <v>4.2175000000000002</v>
      </c>
      <c r="H30" s="43">
        <v>270</v>
      </c>
      <c r="I30" s="45">
        <f t="shared" si="0"/>
        <v>4.2445000000000004</v>
      </c>
      <c r="J30" s="39">
        <f t="shared" si="1"/>
        <v>1.6190838810849622</v>
      </c>
      <c r="K30" s="46">
        <f t="shared" si="2"/>
        <v>0.45504345492860448</v>
      </c>
      <c r="L30" s="29" t="s">
        <v>34</v>
      </c>
      <c r="U30">
        <v>22</v>
      </c>
      <c r="V30" s="1">
        <v>5.75</v>
      </c>
      <c r="W30" s="12" cm="1">
        <f t="array" ref="W30">Tsy_Interp(V30,Table3[Maturity],Table3[Yield])</f>
        <v>4.2075000000000001E-2</v>
      </c>
    </row>
    <row r="31" spans="2:23" x14ac:dyDescent="0.2">
      <c r="B31" s="27">
        <v>45483</v>
      </c>
      <c r="C31" s="27">
        <v>47220</v>
      </c>
      <c r="D31" s="28">
        <v>6.8849999999999995E-2</v>
      </c>
      <c r="E31" s="43">
        <v>2</v>
      </c>
      <c r="F31" s="44">
        <v>3</v>
      </c>
      <c r="G31" s="38" cm="1">
        <f t="array" ref="G31">Tsy_Interp(F31, $B$5:$B$17, $C$5:$C$17)</f>
        <v>4.42</v>
      </c>
      <c r="H31" s="43">
        <v>275</v>
      </c>
      <c r="I31" s="45">
        <f t="shared" si="0"/>
        <v>4.4474999999999998</v>
      </c>
      <c r="J31" s="39">
        <f t="shared" si="1"/>
        <v>1.062035555846923</v>
      </c>
      <c r="K31" s="46">
        <f t="shared" si="2"/>
        <v>0.48263653995305561</v>
      </c>
      <c r="L31" s="29" t="s">
        <v>35</v>
      </c>
      <c r="U31">
        <v>23</v>
      </c>
      <c r="V31" s="9">
        <v>6</v>
      </c>
      <c r="W31" s="12" cm="1">
        <f t="array" ref="W31">Tsy_Interp(V31,Table3[Maturity],Table3[Yield])</f>
        <v>4.2099999999999999E-2</v>
      </c>
    </row>
    <row r="32" spans="2:23" x14ac:dyDescent="0.2">
      <c r="B32" s="27">
        <v>45483</v>
      </c>
      <c r="C32" s="27">
        <v>47586</v>
      </c>
      <c r="D32" s="28">
        <v>0.10749499999999999</v>
      </c>
      <c r="E32" s="43">
        <v>2</v>
      </c>
      <c r="F32" s="44">
        <v>15</v>
      </c>
      <c r="G32" s="38" cm="1">
        <f t="array" ref="G32">Tsy_Interp(F32, $B$5:$B$17, $C$5:$C$17)</f>
        <v>4.2850000000000001</v>
      </c>
      <c r="H32" s="43">
        <v>625</v>
      </c>
      <c r="I32" s="45">
        <f t="shared" si="0"/>
        <v>4.3475000000000001</v>
      </c>
      <c r="J32" s="39">
        <f t="shared" si="1"/>
        <v>1.7232799841806039</v>
      </c>
      <c r="K32" s="46">
        <f t="shared" si="2"/>
        <v>0.48854890641736204</v>
      </c>
      <c r="L32" s="29" t="s">
        <v>36</v>
      </c>
      <c r="U32">
        <v>24</v>
      </c>
      <c r="V32" s="1">
        <v>6.25</v>
      </c>
      <c r="W32" s="12" cm="1">
        <f t="array" ref="W32">Tsy_Interp(V32,Table3[Maturity],Table3[Yield])</f>
        <v>4.2124999999999996E-2</v>
      </c>
    </row>
    <row r="33" spans="2:23" x14ac:dyDescent="0.2">
      <c r="B33" s="27">
        <v>45483</v>
      </c>
      <c r="C33" s="27">
        <v>46855</v>
      </c>
      <c r="D33" s="28">
        <v>0.10685</v>
      </c>
      <c r="E33" s="43">
        <v>2</v>
      </c>
      <c r="F33" s="44">
        <v>3</v>
      </c>
      <c r="G33" s="38" cm="1">
        <f t="array" ref="G33">Tsy_Interp(F33, $B$5:$B$17, $C$5:$C$17)</f>
        <v>4.42</v>
      </c>
      <c r="H33" s="43">
        <v>595</v>
      </c>
      <c r="I33" s="45">
        <f t="shared" si="0"/>
        <v>4.4794999999999998</v>
      </c>
      <c r="J33" s="39">
        <f t="shared" si="1"/>
        <v>1.6400824739111579</v>
      </c>
      <c r="K33" s="46">
        <f t="shared" si="2"/>
        <v>0.48974723230525757</v>
      </c>
      <c r="L33" s="29" t="s">
        <v>36</v>
      </c>
      <c r="U33">
        <v>25</v>
      </c>
      <c r="V33" s="9">
        <v>6.5</v>
      </c>
      <c r="W33" s="12" cm="1">
        <f t="array" ref="W33">Tsy_Interp(V33,Table3[Maturity],Table3[Yield])</f>
        <v>4.2149999999999993E-2</v>
      </c>
    </row>
    <row r="34" spans="2:23" x14ac:dyDescent="0.2">
      <c r="B34" s="27">
        <v>45483</v>
      </c>
      <c r="C34" s="27">
        <v>49412</v>
      </c>
      <c r="D34" s="28">
        <v>8.1269999999999995E-2</v>
      </c>
      <c r="E34" s="43">
        <v>2</v>
      </c>
      <c r="F34" s="44">
        <v>7</v>
      </c>
      <c r="G34" s="38" cm="1">
        <f t="array" ref="G34">Tsy_Interp(F34, $B$5:$B$17, $C$5:$C$17)</f>
        <v>4.09</v>
      </c>
      <c r="H34" s="43">
        <v>375</v>
      </c>
      <c r="I34" s="45">
        <f t="shared" si="0"/>
        <v>4.1274999999999995</v>
      </c>
      <c r="J34" s="39">
        <f t="shared" si="1"/>
        <v>1.4186916286435869</v>
      </c>
      <c r="K34" s="46">
        <f t="shared" si="2"/>
        <v>0.50061075119721121</v>
      </c>
      <c r="L34" s="29" t="s">
        <v>32</v>
      </c>
      <c r="U34">
        <v>26</v>
      </c>
      <c r="V34" s="1">
        <v>6.75</v>
      </c>
      <c r="W34" s="12" cm="1">
        <f t="array" ref="W34">Tsy_Interp(V34,Table3[Maturity],Table3[Yield])</f>
        <v>4.2174999999999997E-2</v>
      </c>
    </row>
    <row r="35" spans="2:23" x14ac:dyDescent="0.2">
      <c r="B35" s="27">
        <v>45483</v>
      </c>
      <c r="C35" s="27">
        <v>51603</v>
      </c>
      <c r="D35" s="28">
        <v>0.10877000000000001</v>
      </c>
      <c r="E35" s="43">
        <v>2</v>
      </c>
      <c r="F35" s="44">
        <v>9.5</v>
      </c>
      <c r="G35" s="38" cm="1">
        <f t="array" ref="G35">Tsy_Interp(F35, $B$5:$B$17, $C$5:$C$17)</f>
        <v>4.1400000000000006</v>
      </c>
      <c r="H35" s="43">
        <v>650</v>
      </c>
      <c r="I35" s="45">
        <f t="shared" si="0"/>
        <v>4.205000000000001</v>
      </c>
      <c r="J35" s="39">
        <f t="shared" si="1"/>
        <v>1.8403804728288748</v>
      </c>
      <c r="K35" s="46">
        <f t="shared" si="2"/>
        <v>0.49336768397411662</v>
      </c>
      <c r="L35" s="29" t="s">
        <v>37</v>
      </c>
      <c r="U35">
        <v>27</v>
      </c>
      <c r="V35" s="9">
        <v>7</v>
      </c>
      <c r="W35" s="12" cm="1">
        <f t="array" ref="W35">Tsy_Interp(V35,Table3[Maturity],Table3[Yield])</f>
        <v>4.2199999999999994E-2</v>
      </c>
    </row>
    <row r="36" spans="2:23" x14ac:dyDescent="0.2">
      <c r="B36" s="27">
        <v>45483</v>
      </c>
      <c r="C36" s="27">
        <v>53064</v>
      </c>
      <c r="D36" s="28">
        <v>6.5494999999999998E-2</v>
      </c>
      <c r="E36" s="43">
        <v>4</v>
      </c>
      <c r="F36" s="44">
        <v>15</v>
      </c>
      <c r="G36" s="38" cm="1">
        <f t="array" ref="G36">Tsy_Interp(F36, $B$5:$B$17, $C$5:$C$17)</f>
        <v>4.2850000000000001</v>
      </c>
      <c r="H36" s="43">
        <v>145</v>
      </c>
      <c r="I36" s="45">
        <f t="shared" si="0"/>
        <v>4.2995000000000001</v>
      </c>
      <c r="J36" s="39">
        <f t="shared" si="1"/>
        <v>1.5088498258963454</v>
      </c>
      <c r="K36" s="46">
        <f t="shared" si="2"/>
        <v>0.238140739879314</v>
      </c>
      <c r="L36" s="29" t="s">
        <v>38</v>
      </c>
      <c r="U36">
        <v>28</v>
      </c>
      <c r="V36" s="1">
        <v>7.25</v>
      </c>
      <c r="W36" s="12" cm="1">
        <f t="array" ref="W36">Tsy_Interp(V36,Table3[Maturity],Table3[Yield])</f>
        <v>4.2249999999999996E-2</v>
      </c>
    </row>
    <row r="37" spans="2:23" x14ac:dyDescent="0.2">
      <c r="B37" s="27">
        <v>45483</v>
      </c>
      <c r="C37" s="27">
        <v>51603</v>
      </c>
      <c r="D37" s="28">
        <v>9.6259999999999998E-2</v>
      </c>
      <c r="E37" s="43">
        <v>2</v>
      </c>
      <c r="F37" s="44">
        <v>12</v>
      </c>
      <c r="G37" s="38" cm="1">
        <f t="array" ref="G37">Tsy_Interp(F37, $B$5:$B$17, $C$5:$C$17)</f>
        <v>4.2040000000000006</v>
      </c>
      <c r="H37" s="43">
        <v>500</v>
      </c>
      <c r="I37" s="45">
        <f t="shared" si="0"/>
        <v>4.2540000000000004</v>
      </c>
      <c r="J37" s="39">
        <f t="shared" si="1"/>
        <v>1.598012910821121</v>
      </c>
      <c r="K37" s="46">
        <f t="shared" si="2"/>
        <v>0.49062842814606883</v>
      </c>
      <c r="L37" s="29" t="s">
        <v>30</v>
      </c>
      <c r="U37">
        <v>29</v>
      </c>
      <c r="V37" s="9">
        <v>7.5</v>
      </c>
      <c r="W37" s="12" cm="1">
        <f t="array" ref="W37">Tsy_Interp(V37,Table3[Maturity],Table3[Yield])</f>
        <v>4.2299999999999997E-2</v>
      </c>
    </row>
    <row r="38" spans="2:23" x14ac:dyDescent="0.2">
      <c r="B38" s="27">
        <v>45483</v>
      </c>
      <c r="C38" s="27">
        <v>51969</v>
      </c>
      <c r="D38" s="28">
        <v>5.7994999999999998E-2</v>
      </c>
      <c r="E38" s="43">
        <v>2</v>
      </c>
      <c r="F38" s="44">
        <v>15</v>
      </c>
      <c r="G38" s="38" cm="1">
        <f t="array" ref="G38">Tsy_Interp(F38, $B$5:$B$17, $C$5:$C$17)</f>
        <v>4.2850000000000001</v>
      </c>
      <c r="H38" s="43">
        <v>180</v>
      </c>
      <c r="I38" s="45">
        <f t="shared" si="0"/>
        <v>4.3029999999999999</v>
      </c>
      <c r="J38" s="39">
        <f t="shared" si="1"/>
        <v>0.94575763546994707</v>
      </c>
      <c r="K38" s="46">
        <f t="shared" si="2"/>
        <v>0.49072933612208669</v>
      </c>
      <c r="L38" s="29" t="s">
        <v>39</v>
      </c>
      <c r="U38">
        <v>30</v>
      </c>
      <c r="V38" s="1">
        <v>7.75</v>
      </c>
      <c r="W38" s="12" cm="1">
        <f t="array" ref="W38">Tsy_Interp(V38,Table3[Maturity],Table3[Yield])</f>
        <v>4.2349999999999999E-2</v>
      </c>
    </row>
    <row r="39" spans="2:23" x14ac:dyDescent="0.2">
      <c r="B39" s="27">
        <v>45483</v>
      </c>
      <c r="C39" s="27">
        <v>47586</v>
      </c>
      <c r="D39" s="28">
        <v>7.9399999999999998E-2</v>
      </c>
      <c r="E39" s="43">
        <v>4</v>
      </c>
      <c r="F39" s="44">
        <v>4.25</v>
      </c>
      <c r="G39" s="38" cm="1">
        <f t="array" ref="G39">Tsy_Interp(F39, $B$5:$B$17, $C$5:$C$17)</f>
        <v>4.41</v>
      </c>
      <c r="H39" s="43">
        <v>350</v>
      </c>
      <c r="I39" s="45">
        <f t="shared" si="0"/>
        <v>4.4450000000000003</v>
      </c>
      <c r="J39" s="39">
        <f t="shared" si="1"/>
        <v>1.7596669950414348</v>
      </c>
      <c r="K39" s="46">
        <f t="shared" si="2"/>
        <v>0.2333101427471154</v>
      </c>
      <c r="L39" s="29" t="s">
        <v>34</v>
      </c>
      <c r="U39">
        <v>31</v>
      </c>
      <c r="V39" s="9">
        <v>8</v>
      </c>
      <c r="W39" s="12" cm="1">
        <f t="array" ref="W39">Tsy_Interp(V39,Table3[Maturity],Table3[Yield])</f>
        <v>4.24E-2</v>
      </c>
    </row>
    <row r="40" spans="2:23" x14ac:dyDescent="0.2">
      <c r="B40" s="27">
        <v>45483</v>
      </c>
      <c r="C40" s="27">
        <v>52699</v>
      </c>
      <c r="D40" s="28">
        <v>8.2494999999999985E-2</v>
      </c>
      <c r="E40" s="43">
        <v>2</v>
      </c>
      <c r="F40" s="44">
        <v>15</v>
      </c>
      <c r="G40" s="38" cm="1">
        <f t="array" ref="G40">Tsy_Interp(F40, $B$5:$B$17, $C$5:$C$17)</f>
        <v>4.2850000000000001</v>
      </c>
      <c r="H40" s="43">
        <v>375</v>
      </c>
      <c r="I40" s="45">
        <f t="shared" si="0"/>
        <v>4.3224999999999998</v>
      </c>
      <c r="J40" s="39">
        <f t="shared" si="1"/>
        <v>1.3336349178467723</v>
      </c>
      <c r="K40" s="46">
        <f t="shared" si="2"/>
        <v>0.48690315532420791</v>
      </c>
      <c r="L40" s="29" t="s">
        <v>33</v>
      </c>
      <c r="U40">
        <v>32</v>
      </c>
      <c r="V40" s="1">
        <v>8.25</v>
      </c>
      <c r="W40" s="12" cm="1">
        <f t="array" ref="W40">Tsy_Interp(V40,Table3[Maturity],Table3[Yield])</f>
        <v>4.2450000000000002E-2</v>
      </c>
    </row>
    <row r="41" spans="2:23" x14ac:dyDescent="0.2">
      <c r="B41" s="27">
        <v>45483</v>
      </c>
      <c r="C41" s="27">
        <v>51603</v>
      </c>
      <c r="D41" s="28">
        <v>8.6994999999999989E-2</v>
      </c>
      <c r="E41" s="43">
        <v>2</v>
      </c>
      <c r="F41" s="44">
        <v>15</v>
      </c>
      <c r="G41" s="38" cm="1">
        <f t="array" ref="G41">Tsy_Interp(F41, $B$5:$B$17, $C$5:$C$17)</f>
        <v>4.2850000000000001</v>
      </c>
      <c r="H41" s="43">
        <v>400</v>
      </c>
      <c r="I41" s="45">
        <f t="shared" si="0"/>
        <v>4.3250000000000002</v>
      </c>
      <c r="J41" s="39">
        <f t="shared" si="1"/>
        <v>1.4050233925086903</v>
      </c>
      <c r="K41" s="46">
        <f t="shared" si="2"/>
        <v>0.48676942838793325</v>
      </c>
      <c r="L41" s="29" t="s">
        <v>40</v>
      </c>
      <c r="U41">
        <v>33</v>
      </c>
      <c r="V41" s="9">
        <v>8.5</v>
      </c>
      <c r="W41" s="12" cm="1">
        <f t="array" ref="W41">Tsy_Interp(V41,Table3[Maturity],Table3[Yield])</f>
        <v>4.2499999999999996E-2</v>
      </c>
    </row>
    <row r="42" spans="2:23" x14ac:dyDescent="0.2">
      <c r="B42" s="27">
        <v>45483</v>
      </c>
      <c r="C42" s="27">
        <v>53064</v>
      </c>
      <c r="D42" s="28">
        <v>5.3994999999999994E-2</v>
      </c>
      <c r="E42" s="43">
        <v>2</v>
      </c>
      <c r="F42" s="44">
        <v>15</v>
      </c>
      <c r="G42" s="38" cm="1">
        <f t="array" ref="G42">Tsy_Interp(F42, $B$5:$B$17, $C$5:$C$17)</f>
        <v>4.2850000000000001</v>
      </c>
      <c r="H42" s="43">
        <v>90</v>
      </c>
      <c r="I42" s="45">
        <f t="shared" si="0"/>
        <v>4.2940000000000005</v>
      </c>
      <c r="J42" s="39">
        <f t="shared" si="1"/>
        <v>0.88258050364911478</v>
      </c>
      <c r="K42" s="46">
        <f t="shared" si="2"/>
        <v>0.48843864824302607</v>
      </c>
      <c r="L42" s="29" t="s">
        <v>41</v>
      </c>
      <c r="U42">
        <v>34</v>
      </c>
      <c r="V42" s="1">
        <v>8.75</v>
      </c>
      <c r="W42" s="12" cm="1">
        <f t="array" ref="W42">Tsy_Interp(V42,Table3[Maturity],Table3[Yield])</f>
        <v>4.2549999999999998E-2</v>
      </c>
    </row>
    <row r="43" spans="2:23" x14ac:dyDescent="0.2">
      <c r="B43" s="27">
        <v>45483</v>
      </c>
      <c r="C43" s="27">
        <v>53156</v>
      </c>
      <c r="D43" s="28">
        <v>9.1219999999999996E-2</v>
      </c>
      <c r="E43" s="43">
        <v>1</v>
      </c>
      <c r="F43" s="44">
        <v>20</v>
      </c>
      <c r="G43" s="38" cm="1">
        <f t="array" ref="G43">Tsy_Interp(F43, $B$5:$B$17, $C$5:$C$17)</f>
        <v>4.42</v>
      </c>
      <c r="H43" s="43">
        <v>390</v>
      </c>
      <c r="I43" s="45">
        <f t="shared" si="0"/>
        <v>4.4589999999999996</v>
      </c>
      <c r="J43" s="39">
        <f t="shared" si="1"/>
        <v>1.9649233171514737</v>
      </c>
      <c r="K43" s="46">
        <f t="shared" si="2"/>
        <v>0.23259886372137314</v>
      </c>
      <c r="L43" s="29" t="s">
        <v>42</v>
      </c>
      <c r="U43">
        <v>35</v>
      </c>
      <c r="V43" s="9">
        <v>9</v>
      </c>
      <c r="W43" s="12" cm="1">
        <f t="array" ref="W43">Tsy_Interp(V43,Table3[Maturity],Table3[Yield])</f>
        <v>4.2599999999999999E-2</v>
      </c>
    </row>
    <row r="44" spans="2:23" x14ac:dyDescent="0.2">
      <c r="B44" s="27">
        <v>45483</v>
      </c>
      <c r="C44" s="27">
        <v>54266</v>
      </c>
      <c r="D44" s="28">
        <v>0.10582</v>
      </c>
      <c r="E44" s="43">
        <v>2</v>
      </c>
      <c r="F44" s="44">
        <v>24</v>
      </c>
      <c r="G44" s="38" cm="1">
        <f t="array" ref="G44">Tsy_Interp(F44, $B$5:$B$17, $C$5:$C$17)</f>
        <v>4.3879999999999999</v>
      </c>
      <c r="H44" s="43">
        <v>600</v>
      </c>
      <c r="I44" s="45">
        <f t="shared" si="0"/>
        <v>4.4479999999999995</v>
      </c>
      <c r="J44" s="39">
        <f t="shared" si="1"/>
        <v>2.0759566191206389</v>
      </c>
      <c r="K44" s="46">
        <f t="shared" si="2"/>
        <v>0.27204236610711435</v>
      </c>
      <c r="L44" s="29" t="s">
        <v>37</v>
      </c>
      <c r="U44">
        <v>36</v>
      </c>
      <c r="V44" s="1">
        <v>9.25</v>
      </c>
      <c r="W44" s="12" cm="1">
        <f t="array" ref="W44">Tsy_Interp(V44,Table3[Maturity],Table3[Yield])</f>
        <v>4.265E-2</v>
      </c>
    </row>
    <row r="45" spans="2:23" x14ac:dyDescent="0.2">
      <c r="B45" s="27">
        <v>45483</v>
      </c>
      <c r="C45" s="27">
        <v>54677</v>
      </c>
      <c r="D45" s="28">
        <v>6.1769999999999999E-2</v>
      </c>
      <c r="E45" s="43">
        <v>2</v>
      </c>
      <c r="F45" s="44">
        <v>10</v>
      </c>
      <c r="G45" s="38" cm="1">
        <f t="array" ref="G45">Tsy_Interp(F45, $B$5:$B$17, $C$5:$C$17)</f>
        <v>4.1500000000000004</v>
      </c>
      <c r="H45" s="43">
        <v>250</v>
      </c>
      <c r="I45" s="45">
        <f t="shared" si="0"/>
        <v>4.1750000000000007</v>
      </c>
      <c r="J45" s="39">
        <f t="shared" si="1"/>
        <v>1.075653056164342</v>
      </c>
      <c r="K45" s="46">
        <f t="shared" si="2"/>
        <v>0.40896540252827668</v>
      </c>
      <c r="L45" s="29" t="s">
        <v>35</v>
      </c>
      <c r="U45">
        <v>37</v>
      </c>
      <c r="V45" s="9">
        <v>9.5</v>
      </c>
      <c r="W45" s="12" cm="1">
        <f t="array" ref="W45">Tsy_Interp(V45,Table3[Maturity],Table3[Yield])</f>
        <v>4.2700000000000002E-2</v>
      </c>
    </row>
    <row r="46" spans="2:23" x14ac:dyDescent="0.2">
      <c r="B46" s="27">
        <v>45483</v>
      </c>
      <c r="C46" s="27">
        <v>55468</v>
      </c>
      <c r="D46" s="28">
        <v>7.2220000000000006E-2</v>
      </c>
      <c r="E46" s="43">
        <v>4</v>
      </c>
      <c r="F46" s="44">
        <v>25</v>
      </c>
      <c r="G46" s="38" cm="1">
        <f t="array" ref="G46">Tsy_Interp(F46, $B$5:$B$17, $C$5:$C$17)</f>
        <v>4.38</v>
      </c>
      <c r="H46" s="43">
        <v>245</v>
      </c>
      <c r="I46" s="45">
        <f t="shared" si="0"/>
        <v>4.4044999999999996</v>
      </c>
      <c r="J46" s="39">
        <f t="shared" si="1"/>
        <v>1.4841497837523761</v>
      </c>
      <c r="K46" s="46">
        <f t="shared" si="2"/>
        <v>0.31315163784513333</v>
      </c>
      <c r="L46" s="29" t="s">
        <v>43</v>
      </c>
      <c r="U46">
        <v>38</v>
      </c>
      <c r="V46" s="1">
        <v>9.75</v>
      </c>
      <c r="W46" s="12" cm="1">
        <f t="array" ref="W46">Tsy_Interp(V46,Table3[Maturity],Table3[Yield])</f>
        <v>4.2750000000000003E-2</v>
      </c>
    </row>
    <row r="47" spans="2:23" x14ac:dyDescent="0.2">
      <c r="B47" s="27">
        <v>45483</v>
      </c>
      <c r="C47" s="27">
        <v>56245</v>
      </c>
      <c r="D47" s="28">
        <v>6.3219999999999998E-2</v>
      </c>
      <c r="E47" s="43">
        <v>2</v>
      </c>
      <c r="F47" s="44">
        <v>25</v>
      </c>
      <c r="G47" s="38" cm="1">
        <f t="array" ref="G47">Tsy_Interp(F47, $B$5:$B$17, $C$5:$C$17)</f>
        <v>4.38</v>
      </c>
      <c r="H47" s="43">
        <v>175</v>
      </c>
      <c r="I47" s="45">
        <f t="shared" si="0"/>
        <v>4.3975</v>
      </c>
      <c r="J47" s="39">
        <f t="shared" si="1"/>
        <v>1.3352831652356558</v>
      </c>
      <c r="K47" s="46">
        <f t="shared" si="2"/>
        <v>0.69129082180531887</v>
      </c>
      <c r="L47" s="29" t="s">
        <v>39</v>
      </c>
      <c r="U47">
        <v>39</v>
      </c>
      <c r="V47" s="9">
        <v>10</v>
      </c>
      <c r="W47" s="12" cm="1">
        <f t="array" ref="W47">Tsy_Interp(V47,Table3[Maturity],Table3[Yield])</f>
        <v>4.2800000000000005E-2</v>
      </c>
    </row>
    <row r="48" spans="2:23" x14ac:dyDescent="0.2">
      <c r="B48" s="30">
        <v>45483</v>
      </c>
      <c r="C48" s="30">
        <v>56641</v>
      </c>
      <c r="D48" s="31">
        <v>5.772E-2</v>
      </c>
      <c r="E48" s="32">
        <v>4</v>
      </c>
      <c r="F48" s="33">
        <v>30</v>
      </c>
      <c r="G48" s="42" cm="1">
        <f t="array" ref="G48">Tsy_Interp(F48, $B$5:$B$17, $C$5:$C$17)</f>
        <v>4.34</v>
      </c>
      <c r="H48" s="32">
        <v>105</v>
      </c>
      <c r="I48" s="34">
        <f t="shared" si="0"/>
        <v>4.3505000000000003</v>
      </c>
      <c r="J48" s="41">
        <f t="shared" si="1"/>
        <v>1.2398096930501827</v>
      </c>
      <c r="K48" s="35">
        <f t="shared" si="2"/>
        <v>0.27708085916050507</v>
      </c>
      <c r="L48" s="36" t="s">
        <v>41</v>
      </c>
      <c r="U48">
        <v>40</v>
      </c>
      <c r="V48" s="1">
        <v>10.25</v>
      </c>
      <c r="W48" s="12" cm="1">
        <f t="array" ref="W48">Tsy_Interp(V48,Table3[Maturity],Table3[Yield])</f>
        <v>4.2872500000000008E-2</v>
      </c>
    </row>
    <row r="49" spans="21:23" x14ac:dyDescent="0.2">
      <c r="U49">
        <v>41</v>
      </c>
      <c r="V49" s="9">
        <v>10.5</v>
      </c>
      <c r="W49" s="12" cm="1">
        <f t="array" ref="W49">Tsy_Interp(V49,Table3[Maturity],Table3[Yield])</f>
        <v>4.2945000000000004E-2</v>
      </c>
    </row>
    <row r="50" spans="21:23" x14ac:dyDescent="0.2">
      <c r="U50">
        <v>42</v>
      </c>
      <c r="V50" s="1">
        <v>10.75</v>
      </c>
      <c r="W50" s="12" cm="1">
        <f t="array" ref="W50">Tsy_Interp(V50,Table3[Maturity],Table3[Yield])</f>
        <v>4.3017500000000007E-2</v>
      </c>
    </row>
    <row r="51" spans="21:23" x14ac:dyDescent="0.2">
      <c r="U51">
        <v>43</v>
      </c>
      <c r="V51" s="9">
        <v>11</v>
      </c>
      <c r="W51" s="12" cm="1">
        <f t="array" ref="W51">Tsy_Interp(V51,Table3[Maturity],Table3[Yield])</f>
        <v>4.3090000000000003E-2</v>
      </c>
    </row>
    <row r="52" spans="21:23" x14ac:dyDescent="0.2">
      <c r="U52">
        <v>44</v>
      </c>
      <c r="V52" s="1">
        <v>11.25</v>
      </c>
      <c r="W52" s="12" cm="1">
        <f t="array" ref="W52">Tsy_Interp(V52,Table3[Maturity],Table3[Yield])</f>
        <v>4.3162500000000006E-2</v>
      </c>
    </row>
    <row r="53" spans="21:23" x14ac:dyDescent="0.2">
      <c r="U53">
        <v>45</v>
      </c>
      <c r="V53" s="9">
        <v>11.5</v>
      </c>
      <c r="W53" s="12" cm="1">
        <f t="array" ref="W53">Tsy_Interp(V53,Table3[Maturity],Table3[Yield])</f>
        <v>4.3235000000000003E-2</v>
      </c>
    </row>
    <row r="54" spans="21:23" x14ac:dyDescent="0.2">
      <c r="U54">
        <v>46</v>
      </c>
      <c r="V54" s="1">
        <v>11.75</v>
      </c>
      <c r="W54" s="12" cm="1">
        <f t="array" ref="W54">Tsy_Interp(V54,Table3[Maturity],Table3[Yield])</f>
        <v>4.3307500000000006E-2</v>
      </c>
    </row>
    <row r="55" spans="21:23" x14ac:dyDescent="0.2">
      <c r="U55">
        <v>47</v>
      </c>
      <c r="V55" s="9">
        <v>12</v>
      </c>
      <c r="W55" s="12" cm="1">
        <f t="array" ref="W55">Tsy_Interp(V55,Table3[Maturity],Table3[Yield])</f>
        <v>4.3380000000000002E-2</v>
      </c>
    </row>
    <row r="56" spans="21:23" x14ac:dyDescent="0.2">
      <c r="U56">
        <v>48</v>
      </c>
      <c r="V56" s="1">
        <v>12.25</v>
      </c>
      <c r="W56" s="12" cm="1">
        <f t="array" ref="W56">Tsy_Interp(V56,Table3[Maturity],Table3[Yield])</f>
        <v>4.3452500000000005E-2</v>
      </c>
    </row>
    <row r="57" spans="21:23" x14ac:dyDescent="0.2">
      <c r="U57">
        <v>49</v>
      </c>
      <c r="V57" s="9">
        <v>12.5</v>
      </c>
      <c r="W57" s="12" cm="1">
        <f t="array" ref="W57">Tsy_Interp(V57,Table3[Maturity],Table3[Yield])</f>
        <v>4.3525000000000008E-2</v>
      </c>
    </row>
    <row r="58" spans="21:23" x14ac:dyDescent="0.2">
      <c r="U58">
        <v>50</v>
      </c>
      <c r="V58" s="1">
        <v>12.75</v>
      </c>
      <c r="W58" s="12" cm="1">
        <f t="array" ref="W58">Tsy_Interp(V58,Table3[Maturity],Table3[Yield])</f>
        <v>4.3597500000000004E-2</v>
      </c>
    </row>
    <row r="59" spans="21:23" x14ac:dyDescent="0.2">
      <c r="U59">
        <v>51</v>
      </c>
      <c r="V59" s="9">
        <v>13</v>
      </c>
      <c r="W59" s="12" cm="1">
        <f t="array" ref="W59">Tsy_Interp(V59,Table3[Maturity],Table3[Yield])</f>
        <v>4.3670000000000007E-2</v>
      </c>
    </row>
    <row r="60" spans="21:23" x14ac:dyDescent="0.2">
      <c r="U60">
        <v>52</v>
      </c>
      <c r="V60" s="1">
        <v>13.25</v>
      </c>
      <c r="W60" s="12" cm="1">
        <f t="array" ref="W60">Tsy_Interp(V60,Table3[Maturity],Table3[Yield])</f>
        <v>4.3742500000000004E-2</v>
      </c>
    </row>
    <row r="61" spans="21:23" x14ac:dyDescent="0.2">
      <c r="U61">
        <v>53</v>
      </c>
      <c r="V61" s="9">
        <v>13.5</v>
      </c>
      <c r="W61" s="12" cm="1">
        <f t="array" ref="W61">Tsy_Interp(V61,Table3[Maturity],Table3[Yield])</f>
        <v>4.3815000000000007E-2</v>
      </c>
    </row>
    <row r="62" spans="21:23" x14ac:dyDescent="0.2">
      <c r="U62">
        <v>54</v>
      </c>
      <c r="V62" s="1">
        <v>13.75</v>
      </c>
      <c r="W62" s="12" cm="1">
        <f t="array" ref="W62">Tsy_Interp(V62,Table3[Maturity],Table3[Yield])</f>
        <v>4.3887500000000003E-2</v>
      </c>
    </row>
    <row r="63" spans="21:23" x14ac:dyDescent="0.2">
      <c r="U63">
        <v>55</v>
      </c>
      <c r="V63" s="9">
        <v>14</v>
      </c>
      <c r="W63" s="12" cm="1">
        <f t="array" ref="W63">Tsy_Interp(V63,Table3[Maturity],Table3[Yield])</f>
        <v>4.3960000000000006E-2</v>
      </c>
    </row>
    <row r="64" spans="21:23" x14ac:dyDescent="0.2">
      <c r="U64">
        <v>56</v>
      </c>
      <c r="V64" s="1">
        <v>14.25</v>
      </c>
      <c r="W64" s="12" cm="1">
        <f t="array" ref="W64">Tsy_Interp(V64,Table3[Maturity],Table3[Yield])</f>
        <v>4.4032500000000002E-2</v>
      </c>
    </row>
    <row r="65" spans="21:23" x14ac:dyDescent="0.2">
      <c r="U65">
        <v>57</v>
      </c>
      <c r="V65" s="9">
        <v>14.5</v>
      </c>
      <c r="W65" s="12" cm="1">
        <f t="array" ref="W65">Tsy_Interp(V65,Table3[Maturity],Table3[Yield])</f>
        <v>4.4105000000000005E-2</v>
      </c>
    </row>
    <row r="66" spans="21:23" x14ac:dyDescent="0.2">
      <c r="U66">
        <v>58</v>
      </c>
      <c r="V66" s="1">
        <v>14.75</v>
      </c>
      <c r="W66" s="12" cm="1">
        <f t="array" ref="W66">Tsy_Interp(V66,Table3[Maturity],Table3[Yield])</f>
        <v>4.4177500000000001E-2</v>
      </c>
    </row>
    <row r="67" spans="21:23" x14ac:dyDescent="0.2">
      <c r="U67">
        <v>59</v>
      </c>
      <c r="V67" s="9">
        <v>15</v>
      </c>
      <c r="W67" s="12" cm="1">
        <f t="array" ref="W67">Tsy_Interp(V67,Table3[Maturity],Table3[Yield])</f>
        <v>4.4250000000000005E-2</v>
      </c>
    </row>
    <row r="68" spans="21:23" x14ac:dyDescent="0.2">
      <c r="U68">
        <v>60</v>
      </c>
      <c r="V68" s="1">
        <v>15.25</v>
      </c>
      <c r="W68" s="12" cm="1">
        <f t="array" ref="W68">Tsy_Interp(V68,Table3[Maturity],Table3[Yield])</f>
        <v>4.4322500000000008E-2</v>
      </c>
    </row>
    <row r="69" spans="21:23" x14ac:dyDescent="0.2">
      <c r="U69">
        <v>61</v>
      </c>
      <c r="V69" s="9">
        <v>15.5</v>
      </c>
      <c r="W69" s="12" cm="1">
        <f t="array" ref="W69">Tsy_Interp(V69,Table3[Maturity],Table3[Yield])</f>
        <v>4.4395000000000004E-2</v>
      </c>
    </row>
    <row r="70" spans="21:23" x14ac:dyDescent="0.2">
      <c r="U70">
        <v>62</v>
      </c>
      <c r="V70" s="1">
        <v>15.75</v>
      </c>
      <c r="W70" s="12" cm="1">
        <f t="array" ref="W70">Tsy_Interp(V70,Table3[Maturity],Table3[Yield])</f>
        <v>4.4467500000000007E-2</v>
      </c>
    </row>
    <row r="71" spans="21:23" x14ac:dyDescent="0.2">
      <c r="U71">
        <v>63</v>
      </c>
      <c r="V71" s="9">
        <v>16</v>
      </c>
      <c r="W71" s="12" cm="1">
        <f t="array" ref="W71">Tsy_Interp(V71,Table3[Maturity],Table3[Yield])</f>
        <v>4.4540000000000003E-2</v>
      </c>
    </row>
    <row r="72" spans="21:23" x14ac:dyDescent="0.2">
      <c r="U72">
        <v>64</v>
      </c>
      <c r="V72" s="1">
        <v>16.25</v>
      </c>
      <c r="W72" s="12" cm="1">
        <f t="array" ref="W72">Tsy_Interp(V72,Table3[Maturity],Table3[Yield])</f>
        <v>4.4612500000000006E-2</v>
      </c>
    </row>
    <row r="73" spans="21:23" x14ac:dyDescent="0.2">
      <c r="U73">
        <v>65</v>
      </c>
      <c r="V73" s="9">
        <v>16.5</v>
      </c>
      <c r="W73" s="12" cm="1">
        <f t="array" ref="W73">Tsy_Interp(V73,Table3[Maturity],Table3[Yield])</f>
        <v>4.4685000000000002E-2</v>
      </c>
    </row>
    <row r="74" spans="21:23" x14ac:dyDescent="0.2">
      <c r="U74">
        <v>66</v>
      </c>
      <c r="V74" s="1">
        <v>16.75</v>
      </c>
      <c r="W74" s="12" cm="1">
        <f t="array" ref="W74">Tsy_Interp(V74,Table3[Maturity],Table3[Yield])</f>
        <v>4.4757500000000006E-2</v>
      </c>
    </row>
    <row r="75" spans="21:23" x14ac:dyDescent="0.2">
      <c r="U75">
        <v>67</v>
      </c>
      <c r="V75" s="9">
        <v>17</v>
      </c>
      <c r="W75" s="12" cm="1">
        <f t="array" ref="W75">Tsy_Interp(V75,Table3[Maturity],Table3[Yield])</f>
        <v>4.4830000000000002E-2</v>
      </c>
    </row>
    <row r="76" spans="21:23" x14ac:dyDescent="0.2">
      <c r="U76">
        <v>68</v>
      </c>
      <c r="V76" s="1">
        <v>17.25</v>
      </c>
      <c r="W76" s="12" cm="1">
        <f t="array" ref="W76">Tsy_Interp(V76,Table3[Maturity],Table3[Yield])</f>
        <v>4.4902500000000005E-2</v>
      </c>
    </row>
    <row r="77" spans="21:23" x14ac:dyDescent="0.2">
      <c r="U77">
        <v>69</v>
      </c>
      <c r="V77" s="9">
        <v>17.5</v>
      </c>
      <c r="W77" s="12" cm="1">
        <f t="array" ref="W77">Tsy_Interp(V77,Table3[Maturity],Table3[Yield])</f>
        <v>4.4975000000000001E-2</v>
      </c>
    </row>
    <row r="78" spans="21:23" x14ac:dyDescent="0.2">
      <c r="U78">
        <v>70</v>
      </c>
      <c r="V78" s="1">
        <v>17.75</v>
      </c>
      <c r="W78" s="12" cm="1">
        <f t="array" ref="W78">Tsy_Interp(V78,Table3[Maturity],Table3[Yield])</f>
        <v>4.5047500000000004E-2</v>
      </c>
    </row>
    <row r="79" spans="21:23" x14ac:dyDescent="0.2">
      <c r="U79">
        <v>71</v>
      </c>
      <c r="V79" s="9">
        <v>18</v>
      </c>
      <c r="W79" s="12" cm="1">
        <f t="array" ref="W79">Tsy_Interp(V79,Table3[Maturity],Table3[Yield])</f>
        <v>4.5120000000000007E-2</v>
      </c>
    </row>
    <row r="80" spans="21:23" x14ac:dyDescent="0.2">
      <c r="U80">
        <v>72</v>
      </c>
      <c r="V80" s="1">
        <v>18.25</v>
      </c>
      <c r="W80" s="12" cm="1">
        <f t="array" ref="W80">Tsy_Interp(V80,Table3[Maturity],Table3[Yield])</f>
        <v>4.5192500000000004E-2</v>
      </c>
    </row>
    <row r="81" spans="21:23" x14ac:dyDescent="0.2">
      <c r="U81">
        <v>73</v>
      </c>
      <c r="V81" s="9">
        <v>18.5</v>
      </c>
      <c r="W81" s="12" cm="1">
        <f t="array" ref="W81">Tsy_Interp(V81,Table3[Maturity],Table3[Yield])</f>
        <v>4.5265000000000007E-2</v>
      </c>
    </row>
    <row r="82" spans="21:23" x14ac:dyDescent="0.2">
      <c r="U82">
        <v>74</v>
      </c>
      <c r="V82" s="1">
        <v>18.75</v>
      </c>
      <c r="W82" s="12" cm="1">
        <f t="array" ref="W82">Tsy_Interp(V82,Table3[Maturity],Table3[Yield])</f>
        <v>4.5337500000000003E-2</v>
      </c>
    </row>
    <row r="83" spans="21:23" x14ac:dyDescent="0.2">
      <c r="U83">
        <v>75</v>
      </c>
      <c r="V83" s="9">
        <v>19</v>
      </c>
      <c r="W83" s="12" cm="1">
        <f t="array" ref="W83">Tsy_Interp(V83,Table3[Maturity],Table3[Yield])</f>
        <v>4.5410000000000006E-2</v>
      </c>
    </row>
    <row r="84" spans="21:23" x14ac:dyDescent="0.2">
      <c r="U84">
        <v>76</v>
      </c>
      <c r="V84" s="1">
        <v>19.25</v>
      </c>
      <c r="W84" s="12" cm="1">
        <f t="array" ref="W84">Tsy_Interp(V84,Table3[Maturity],Table3[Yield])</f>
        <v>4.5482500000000002E-2</v>
      </c>
    </row>
    <row r="85" spans="21:23" x14ac:dyDescent="0.2">
      <c r="U85">
        <v>77</v>
      </c>
      <c r="V85" s="9">
        <v>19.5</v>
      </c>
      <c r="W85" s="12" cm="1">
        <f t="array" ref="W85">Tsy_Interp(V85,Table3[Maturity],Table3[Yield])</f>
        <v>4.5555000000000005E-2</v>
      </c>
    </row>
    <row r="86" spans="21:23" x14ac:dyDescent="0.2">
      <c r="U86">
        <v>78</v>
      </c>
      <c r="V86" s="1">
        <v>19.75</v>
      </c>
      <c r="W86" s="12" cm="1">
        <f t="array" ref="W86">Tsy_Interp(V86,Table3[Maturity],Table3[Yield])</f>
        <v>4.5627500000000001E-2</v>
      </c>
    </row>
    <row r="87" spans="21:23" x14ac:dyDescent="0.2">
      <c r="U87">
        <v>79</v>
      </c>
      <c r="V87" s="9">
        <v>20</v>
      </c>
      <c r="W87" s="12" cm="1">
        <f t="array" ref="W87">Tsy_Interp(V87,Table3[Maturity],Table3[Yield])</f>
        <v>4.5700000000000005E-2</v>
      </c>
    </row>
    <row r="88" spans="21:23" x14ac:dyDescent="0.2">
      <c r="U88">
        <v>80</v>
      </c>
      <c r="V88" s="1">
        <v>20.25</v>
      </c>
      <c r="W88" s="12" cm="1">
        <f t="array" ref="W88">Tsy_Interp(V88,Table3[Maturity],Table3[Yield])</f>
        <v>4.5672500000000005E-2</v>
      </c>
    </row>
    <row r="89" spans="21:23" x14ac:dyDescent="0.2">
      <c r="U89">
        <v>81</v>
      </c>
      <c r="V89" s="9">
        <v>20.5</v>
      </c>
      <c r="W89" s="12" cm="1">
        <f t="array" ref="W89">Tsy_Interp(V89,Table3[Maturity],Table3[Yield])</f>
        <v>4.5645000000000005E-2</v>
      </c>
    </row>
    <row r="90" spans="21:23" x14ac:dyDescent="0.2">
      <c r="U90">
        <v>82</v>
      </c>
      <c r="V90" s="1">
        <v>20.75</v>
      </c>
      <c r="W90" s="12" cm="1">
        <f t="array" ref="W90">Tsy_Interp(V90,Table3[Maturity],Table3[Yield])</f>
        <v>4.5617500000000005E-2</v>
      </c>
    </row>
    <row r="91" spans="21:23" x14ac:dyDescent="0.2">
      <c r="U91">
        <v>83</v>
      </c>
      <c r="V91" s="9">
        <v>21</v>
      </c>
      <c r="W91" s="12" cm="1">
        <f t="array" ref="W91">Tsy_Interp(V91,Table3[Maturity],Table3[Yield])</f>
        <v>4.5590000000000006E-2</v>
      </c>
    </row>
    <row r="92" spans="21:23" x14ac:dyDescent="0.2">
      <c r="U92">
        <v>84</v>
      </c>
      <c r="V92" s="1">
        <v>21.25</v>
      </c>
      <c r="W92" s="12" cm="1">
        <f t="array" ref="W92">Tsy_Interp(V92,Table3[Maturity],Table3[Yield])</f>
        <v>4.5562500000000006E-2</v>
      </c>
    </row>
    <row r="93" spans="21:23" x14ac:dyDescent="0.2">
      <c r="U93">
        <v>85</v>
      </c>
      <c r="V93" s="9">
        <v>21.5</v>
      </c>
      <c r="W93" s="12" cm="1">
        <f t="array" ref="W93">Tsy_Interp(V93,Table3[Maturity],Table3[Yield])</f>
        <v>4.5535000000000006E-2</v>
      </c>
    </row>
    <row r="94" spans="21:23" x14ac:dyDescent="0.2">
      <c r="U94">
        <v>86</v>
      </c>
      <c r="V94" s="1">
        <v>21.75</v>
      </c>
      <c r="W94" s="12" cm="1">
        <f t="array" ref="W94">Tsy_Interp(V94,Table3[Maturity],Table3[Yield])</f>
        <v>4.5507500000000006E-2</v>
      </c>
    </row>
    <row r="95" spans="21:23" x14ac:dyDescent="0.2">
      <c r="U95">
        <v>87</v>
      </c>
      <c r="V95" s="9">
        <v>22</v>
      </c>
      <c r="W95" s="12" cm="1">
        <f t="array" ref="W95">Tsy_Interp(V95,Table3[Maturity],Table3[Yield])</f>
        <v>4.5480000000000007E-2</v>
      </c>
    </row>
    <row r="96" spans="21:23" x14ac:dyDescent="0.2">
      <c r="U96">
        <v>88</v>
      </c>
      <c r="V96" s="1">
        <v>22.25</v>
      </c>
      <c r="W96" s="12" cm="1">
        <f t="array" ref="W96">Tsy_Interp(V96,Table3[Maturity],Table3[Yield])</f>
        <v>4.5452500000000007E-2</v>
      </c>
    </row>
    <row r="97" spans="21:23" x14ac:dyDescent="0.2">
      <c r="U97">
        <v>89</v>
      </c>
      <c r="V97" s="9">
        <v>22.5</v>
      </c>
      <c r="W97" s="12" cm="1">
        <f t="array" ref="W97">Tsy_Interp(V97,Table3[Maturity],Table3[Yield])</f>
        <v>4.5425000000000007E-2</v>
      </c>
    </row>
    <row r="98" spans="21:23" x14ac:dyDescent="0.2">
      <c r="U98">
        <v>90</v>
      </c>
      <c r="V98" s="1">
        <v>22.75</v>
      </c>
      <c r="W98" s="12" cm="1">
        <f t="array" ref="W98">Tsy_Interp(V98,Table3[Maturity],Table3[Yield])</f>
        <v>4.53975E-2</v>
      </c>
    </row>
    <row r="99" spans="21:23" x14ac:dyDescent="0.2">
      <c r="U99">
        <v>91</v>
      </c>
      <c r="V99" s="9">
        <v>23</v>
      </c>
      <c r="W99" s="12" cm="1">
        <f t="array" ref="W99">Tsy_Interp(V99,Table3[Maturity],Table3[Yield])</f>
        <v>4.5370000000000001E-2</v>
      </c>
    </row>
    <row r="100" spans="21:23" x14ac:dyDescent="0.2">
      <c r="U100">
        <v>92</v>
      </c>
      <c r="V100" s="1">
        <v>23.25</v>
      </c>
      <c r="W100" s="12" cm="1">
        <f t="array" ref="W100">Tsy_Interp(V100,Table3[Maturity],Table3[Yield])</f>
        <v>4.5342500000000001E-2</v>
      </c>
    </row>
    <row r="101" spans="21:23" x14ac:dyDescent="0.2">
      <c r="U101">
        <v>93</v>
      </c>
      <c r="V101" s="9">
        <v>23.5</v>
      </c>
      <c r="W101" s="12" cm="1">
        <f t="array" ref="W101">Tsy_Interp(V101,Table3[Maturity],Table3[Yield])</f>
        <v>4.5315000000000001E-2</v>
      </c>
    </row>
    <row r="102" spans="21:23" x14ac:dyDescent="0.2">
      <c r="U102">
        <v>94</v>
      </c>
      <c r="V102" s="1">
        <v>23.75</v>
      </c>
      <c r="W102" s="12" cm="1">
        <f t="array" ref="W102">Tsy_Interp(V102,Table3[Maturity],Table3[Yield])</f>
        <v>4.5287500000000001E-2</v>
      </c>
    </row>
    <row r="103" spans="21:23" x14ac:dyDescent="0.2">
      <c r="U103">
        <v>95</v>
      </c>
      <c r="V103" s="9">
        <v>24</v>
      </c>
      <c r="W103" s="12" cm="1">
        <f t="array" ref="W103">Tsy_Interp(V103,Table3[Maturity],Table3[Yield])</f>
        <v>4.5260000000000002E-2</v>
      </c>
    </row>
    <row r="104" spans="21:23" x14ac:dyDescent="0.2">
      <c r="U104">
        <v>96</v>
      </c>
      <c r="V104" s="1">
        <v>24.25</v>
      </c>
      <c r="W104" s="12" cm="1">
        <f t="array" ref="W104">Tsy_Interp(V104,Table3[Maturity],Table3[Yield])</f>
        <v>4.5232500000000002E-2</v>
      </c>
    </row>
    <row r="105" spans="21:23" x14ac:dyDescent="0.2">
      <c r="U105">
        <v>97</v>
      </c>
      <c r="V105" s="9">
        <v>24.5</v>
      </c>
      <c r="W105" s="12" cm="1">
        <f t="array" ref="W105">Tsy_Interp(V105,Table3[Maturity],Table3[Yield])</f>
        <v>4.5205000000000002E-2</v>
      </c>
    </row>
    <row r="106" spans="21:23" x14ac:dyDescent="0.2">
      <c r="U106">
        <v>98</v>
      </c>
      <c r="V106" s="1">
        <v>24.75</v>
      </c>
      <c r="W106" s="12" cm="1">
        <f t="array" ref="W106">Tsy_Interp(V106,Table3[Maturity],Table3[Yield])</f>
        <v>4.5177500000000002E-2</v>
      </c>
    </row>
    <row r="107" spans="21:23" x14ac:dyDescent="0.2">
      <c r="U107">
        <v>99</v>
      </c>
      <c r="V107" s="9">
        <v>25</v>
      </c>
      <c r="W107" s="12" cm="1">
        <f t="array" ref="W107">Tsy_Interp(V107,Table3[Maturity],Table3[Yield])</f>
        <v>4.5150000000000003E-2</v>
      </c>
    </row>
    <row r="108" spans="21:23" x14ac:dyDescent="0.2">
      <c r="U108">
        <v>100</v>
      </c>
      <c r="V108" s="1">
        <v>25.25</v>
      </c>
      <c r="W108" s="12" cm="1">
        <f t="array" ref="W108">Tsy_Interp(V108,Table3[Maturity],Table3[Yield])</f>
        <v>4.5122500000000003E-2</v>
      </c>
    </row>
    <row r="109" spans="21:23" x14ac:dyDescent="0.2">
      <c r="U109">
        <v>101</v>
      </c>
      <c r="V109" s="9">
        <v>25.5</v>
      </c>
      <c r="W109" s="12" cm="1">
        <f t="array" ref="W109">Tsy_Interp(V109,Table3[Maturity],Table3[Yield])</f>
        <v>4.5095000000000003E-2</v>
      </c>
    </row>
    <row r="110" spans="21:23" x14ac:dyDescent="0.2">
      <c r="U110">
        <v>102</v>
      </c>
      <c r="V110" s="1">
        <v>25.75</v>
      </c>
      <c r="W110" s="12" cm="1">
        <f t="array" ref="W110">Tsy_Interp(V110,Table3[Maturity],Table3[Yield])</f>
        <v>4.5067500000000003E-2</v>
      </c>
    </row>
    <row r="111" spans="21:23" x14ac:dyDescent="0.2">
      <c r="U111">
        <v>103</v>
      </c>
      <c r="V111" s="9">
        <v>26</v>
      </c>
      <c r="W111" s="12" cm="1">
        <f t="array" ref="W111">Tsy_Interp(V111,Table3[Maturity],Table3[Yield])</f>
        <v>4.5040000000000004E-2</v>
      </c>
    </row>
    <row r="112" spans="21:23" x14ac:dyDescent="0.2">
      <c r="U112">
        <v>104</v>
      </c>
      <c r="V112" s="1">
        <v>26.25</v>
      </c>
      <c r="W112" s="12" cm="1">
        <f t="array" ref="W112">Tsy_Interp(V112,Table3[Maturity],Table3[Yield])</f>
        <v>4.5012500000000004E-2</v>
      </c>
    </row>
    <row r="113" spans="21:23" x14ac:dyDescent="0.2">
      <c r="U113">
        <v>105</v>
      </c>
      <c r="V113" s="9">
        <v>26.5</v>
      </c>
      <c r="W113" s="12" cm="1">
        <f t="array" ref="W113">Tsy_Interp(V113,Table3[Maturity],Table3[Yield])</f>
        <v>4.4985000000000004E-2</v>
      </c>
    </row>
    <row r="114" spans="21:23" x14ac:dyDescent="0.2">
      <c r="U114">
        <v>106</v>
      </c>
      <c r="V114" s="1">
        <v>26.75</v>
      </c>
      <c r="W114" s="12" cm="1">
        <f t="array" ref="W114">Tsy_Interp(V114,Table3[Maturity],Table3[Yield])</f>
        <v>4.4957500000000004E-2</v>
      </c>
    </row>
    <row r="115" spans="21:23" x14ac:dyDescent="0.2">
      <c r="U115">
        <v>107</v>
      </c>
      <c r="V115" s="9">
        <v>27</v>
      </c>
      <c r="W115" s="12" cm="1">
        <f t="array" ref="W115">Tsy_Interp(V115,Table3[Maturity],Table3[Yield])</f>
        <v>4.4930000000000005E-2</v>
      </c>
    </row>
    <row r="116" spans="21:23" x14ac:dyDescent="0.2">
      <c r="U116">
        <v>108</v>
      </c>
      <c r="V116" s="1">
        <v>27.25</v>
      </c>
      <c r="W116" s="12" cm="1">
        <f t="array" ref="W116">Tsy_Interp(V116,Table3[Maturity],Table3[Yield])</f>
        <v>4.4902500000000005E-2</v>
      </c>
    </row>
    <row r="117" spans="21:23" x14ac:dyDescent="0.2">
      <c r="U117">
        <v>109</v>
      </c>
      <c r="V117" s="9">
        <v>27.5</v>
      </c>
      <c r="W117" s="12" cm="1">
        <f t="array" ref="W117">Tsy_Interp(V117,Table3[Maturity],Table3[Yield])</f>
        <v>4.4874999999999998E-2</v>
      </c>
    </row>
    <row r="118" spans="21:23" x14ac:dyDescent="0.2">
      <c r="U118">
        <v>110</v>
      </c>
      <c r="V118" s="1">
        <v>27.75</v>
      </c>
      <c r="W118" s="12" cm="1">
        <f t="array" ref="W118">Tsy_Interp(V118,Table3[Maturity],Table3[Yield])</f>
        <v>4.4847499999999998E-2</v>
      </c>
    </row>
    <row r="119" spans="21:23" x14ac:dyDescent="0.2">
      <c r="U119">
        <v>111</v>
      </c>
      <c r="V119" s="9">
        <v>28</v>
      </c>
      <c r="W119" s="12" cm="1">
        <f t="array" ref="W119">Tsy_Interp(V119,Table3[Maturity],Table3[Yield])</f>
        <v>4.4819999999999999E-2</v>
      </c>
    </row>
    <row r="120" spans="21:23" x14ac:dyDescent="0.2">
      <c r="U120">
        <v>112</v>
      </c>
      <c r="V120" s="1">
        <v>28.25</v>
      </c>
      <c r="W120" s="12" cm="1">
        <f t="array" ref="W120">Tsy_Interp(V120,Table3[Maturity],Table3[Yield])</f>
        <v>4.4792499999999999E-2</v>
      </c>
    </row>
    <row r="121" spans="21:23" x14ac:dyDescent="0.2">
      <c r="U121">
        <v>113</v>
      </c>
      <c r="V121" s="9">
        <v>28.5</v>
      </c>
      <c r="W121" s="12" cm="1">
        <f t="array" ref="W121">Tsy_Interp(V121,Table3[Maturity],Table3[Yield])</f>
        <v>4.4764999999999999E-2</v>
      </c>
    </row>
    <row r="122" spans="21:23" x14ac:dyDescent="0.2">
      <c r="U122">
        <v>114</v>
      </c>
      <c r="V122" s="1">
        <v>28.75</v>
      </c>
      <c r="W122" s="12" cm="1">
        <f t="array" ref="W122">Tsy_Interp(V122,Table3[Maturity],Table3[Yield])</f>
        <v>4.4737499999999999E-2</v>
      </c>
    </row>
    <row r="123" spans="21:23" x14ac:dyDescent="0.2">
      <c r="U123">
        <v>115</v>
      </c>
      <c r="V123" s="9">
        <v>29</v>
      </c>
      <c r="W123" s="12" cm="1">
        <f t="array" ref="W123">Tsy_Interp(V123,Table3[Maturity],Table3[Yield])</f>
        <v>4.471E-2</v>
      </c>
    </row>
    <row r="124" spans="21:23" x14ac:dyDescent="0.2">
      <c r="U124">
        <v>116</v>
      </c>
      <c r="V124" s="1">
        <v>29.25</v>
      </c>
      <c r="W124" s="12" cm="1">
        <f t="array" ref="W124">Tsy_Interp(V124,Table3[Maturity],Table3[Yield])</f>
        <v>4.46825E-2</v>
      </c>
    </row>
    <row r="125" spans="21:23" x14ac:dyDescent="0.2">
      <c r="U125">
        <v>117</v>
      </c>
      <c r="V125" s="9">
        <v>29.5</v>
      </c>
      <c r="W125" s="12" cm="1">
        <f t="array" ref="W125">Tsy_Interp(V125,Table3[Maturity],Table3[Yield])</f>
        <v>4.4655E-2</v>
      </c>
    </row>
    <row r="126" spans="21:23" x14ac:dyDescent="0.2">
      <c r="U126">
        <v>118</v>
      </c>
      <c r="V126" s="1">
        <v>29.75</v>
      </c>
      <c r="W126" s="12" cm="1">
        <f t="array" ref="W126">Tsy_Interp(V126,Table3[Maturity],Table3[Yield])</f>
        <v>4.4627500000000001E-2</v>
      </c>
    </row>
    <row r="127" spans="21:23" x14ac:dyDescent="0.2">
      <c r="U127">
        <v>119</v>
      </c>
      <c r="V127" s="9">
        <v>30</v>
      </c>
      <c r="W127" s="12" cm="1">
        <f t="array" ref="W127">Tsy_Interp(V127,Table3[Maturity],Table3[Yield])</f>
        <v>4.4600000000000001E-2</v>
      </c>
    </row>
    <row r="128" spans="21:23" x14ac:dyDescent="0.2">
      <c r="U128">
        <v>120</v>
      </c>
      <c r="V128" s="1">
        <v>30.25</v>
      </c>
      <c r="W128" s="12" cm="1">
        <f t="array" ref="W128">Tsy_Interp(V128,Table3[Maturity],Table3[Yield])</f>
        <v>4.4572500000000001E-2</v>
      </c>
    </row>
    <row r="129" spans="21:23" x14ac:dyDescent="0.2">
      <c r="U129">
        <v>121</v>
      </c>
      <c r="V129" s="9">
        <v>30.5</v>
      </c>
      <c r="W129" s="12" cm="1">
        <f t="array" ref="W129">Tsy_Interp(V129,Table3[Maturity],Table3[Yield])</f>
        <v>4.4545000000000001E-2</v>
      </c>
    </row>
    <row r="130" spans="21:23" x14ac:dyDescent="0.2">
      <c r="U130">
        <v>122</v>
      </c>
      <c r="V130" s="1">
        <v>30.75</v>
      </c>
      <c r="W130" s="12" cm="1">
        <f t="array" ref="W130">Tsy_Interp(V130,Table3[Maturity],Table3[Yield])</f>
        <v>4.4517500000000002E-2</v>
      </c>
    </row>
    <row r="131" spans="21:23" x14ac:dyDescent="0.2">
      <c r="U131">
        <v>123</v>
      </c>
      <c r="V131" s="9">
        <v>31</v>
      </c>
      <c r="W131" s="12" cm="1">
        <f t="array" ref="W131">Tsy_Interp(V131,Table3[Maturity],Table3[Yield])</f>
        <v>4.4490000000000002E-2</v>
      </c>
    </row>
    <row r="132" spans="21:23" x14ac:dyDescent="0.2">
      <c r="U132">
        <v>124</v>
      </c>
      <c r="V132" s="1">
        <v>31.25</v>
      </c>
      <c r="W132" s="12" cm="1">
        <f t="array" ref="W132">Tsy_Interp(V132,Table3[Maturity],Table3[Yield])</f>
        <v>4.4462500000000002E-2</v>
      </c>
    </row>
  </sheetData>
  <mergeCells count="2">
    <mergeCell ref="B2:C2"/>
    <mergeCell ref="N2:O2"/>
  </mergeCells>
  <hyperlinks>
    <hyperlink ref="O4" r:id="rId1" xr:uid="{5ABE3198-C8E2-4AB5-9672-18CB878BA740}"/>
    <hyperlink ref="O3" r:id="rId2" xr:uid="{D2082B47-3EF7-4853-8BDC-D0FEFEB18432}"/>
  </hyperlinks>
  <pageMargins left="0.7" right="0.7" top="0.75" bottom="0.75" header="0.3" footer="0.3"/>
  <pageSetup scale="64" orientation="portrait" r:id="rId3"/>
  <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1F206-5888-49E9-9118-EA520B3E9644}">
  <sheetPr codeName="Sheet2"/>
  <dimension ref="B4:C21"/>
  <sheetViews>
    <sheetView showGridLines="0" zoomScale="80" zoomScaleNormal="80" workbookViewId="0">
      <selection activeCell="C9" sqref="C9"/>
    </sheetView>
  </sheetViews>
  <sheetFormatPr baseColWidth="10" defaultColWidth="8.83203125" defaultRowHeight="15" x14ac:dyDescent="0.2"/>
  <cols>
    <col min="1" max="1" width="9.5" bestFit="1" customWidth="1"/>
    <col min="2" max="2" width="7.33203125" bestFit="1" customWidth="1"/>
    <col min="3" max="3" width="6" bestFit="1" customWidth="1"/>
    <col min="4" max="6" width="6.6640625" bestFit="1" customWidth="1"/>
    <col min="7" max="7" width="12" bestFit="1" customWidth="1"/>
    <col min="8" max="8" width="10.6640625" bestFit="1" customWidth="1"/>
    <col min="9" max="13" width="5.83203125" bestFit="1" customWidth="1"/>
    <col min="14" max="14" width="6.83203125" bestFit="1" customWidth="1"/>
    <col min="15" max="16" width="8.5" bestFit="1" customWidth="1"/>
  </cols>
  <sheetData>
    <row r="4" spans="2:3" x14ac:dyDescent="0.2">
      <c r="B4" s="1" t="s">
        <v>0</v>
      </c>
      <c r="C4" s="1" t="s">
        <v>1</v>
      </c>
    </row>
    <row r="5" spans="2:3" x14ac:dyDescent="0.2">
      <c r="B5" s="1" t="s">
        <v>2</v>
      </c>
      <c r="C5" s="2">
        <v>4.57</v>
      </c>
    </row>
    <row r="6" spans="2:3" x14ac:dyDescent="0.2">
      <c r="B6" s="1" t="s">
        <v>3</v>
      </c>
      <c r="C6" s="2">
        <v>4.5</v>
      </c>
    </row>
    <row r="7" spans="2:3" x14ac:dyDescent="0.2">
      <c r="B7" s="1" t="s">
        <v>4</v>
      </c>
      <c r="C7" s="2">
        <v>4.42</v>
      </c>
    </row>
    <row r="8" spans="2:3" x14ac:dyDescent="0.2">
      <c r="B8" s="1" t="s">
        <v>5</v>
      </c>
      <c r="C8" s="2">
        <v>4.42</v>
      </c>
    </row>
    <row r="9" spans="2:3" x14ac:dyDescent="0.2">
      <c r="B9" s="1" t="s">
        <v>6</v>
      </c>
      <c r="C9" s="2">
        <v>4.34</v>
      </c>
    </row>
    <row r="10" spans="2:3" x14ac:dyDescent="0.2">
      <c r="B10" s="1" t="s">
        <v>2</v>
      </c>
      <c r="C10" s="2">
        <v>4.1900000000000004</v>
      </c>
    </row>
    <row r="11" spans="2:3" x14ac:dyDescent="0.2">
      <c r="B11" s="1" t="s">
        <v>3</v>
      </c>
      <c r="C11" s="2">
        <v>4.0999999999999996</v>
      </c>
    </row>
    <row r="12" spans="2:3" x14ac:dyDescent="0.2">
      <c r="B12" s="1" t="s">
        <v>4</v>
      </c>
      <c r="C12" s="2">
        <v>4.05</v>
      </c>
    </row>
    <row r="13" spans="2:3" x14ac:dyDescent="0.2">
      <c r="B13" s="1" t="s">
        <v>7</v>
      </c>
      <c r="C13" s="2">
        <v>4.03</v>
      </c>
    </row>
    <row r="14" spans="2:3" x14ac:dyDescent="0.2">
      <c r="B14" s="1" t="s">
        <v>8</v>
      </c>
      <c r="C14" s="2">
        <v>4.09</v>
      </c>
    </row>
    <row r="15" spans="2:3" x14ac:dyDescent="0.2">
      <c r="B15" s="1" t="s">
        <v>9</v>
      </c>
      <c r="C15" s="2">
        <v>4.1500000000000004</v>
      </c>
    </row>
    <row r="16" spans="2:3" x14ac:dyDescent="0.2">
      <c r="B16" s="1" t="s">
        <v>10</v>
      </c>
      <c r="C16" s="2">
        <v>4.42</v>
      </c>
    </row>
    <row r="17" spans="2:3" x14ac:dyDescent="0.2">
      <c r="B17" s="1" t="s">
        <v>11</v>
      </c>
      <c r="C17" s="2">
        <v>4.34</v>
      </c>
    </row>
    <row r="20" spans="2:3" x14ac:dyDescent="0.2">
      <c r="B20" s="3" t="s">
        <v>12</v>
      </c>
    </row>
    <row r="21" spans="2:3" x14ac:dyDescent="0.2">
      <c r="B21" s="4" t="str">
        <f ca="1">TEXT(YEAR(TODAY()),"0000") &amp; TEXT(MONTH(TODAY()),"00")</f>
        <v>202510</v>
      </c>
    </row>
  </sheetData>
  <phoneticPr fontId="2" type="noConversion"/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DFDFD0-0933-444A-B85A-BCA7B607C6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Bond Pricing</vt:lpstr>
      <vt:lpstr>Get Yield Curve</vt:lpstr>
      <vt:lpstr>CFOemail</vt:lpstr>
      <vt:lpstr>Daily_Bond_Prices</vt:lpstr>
      <vt:lpstr>FileFromat</vt:lpstr>
      <vt:lpstr>Myemail</vt:lpstr>
      <vt:lpstr>'Bond Pricing'!Print_Area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Rosero, Ismael</dc:creator>
  <cp:lastModifiedBy>Rosero, Ismael</cp:lastModifiedBy>
  <cp:lastPrinted>2024-12-09T03:27:06Z</cp:lastPrinted>
  <dcterms:created xsi:type="dcterms:W3CDTF">2024-12-02T15:47:48Z</dcterms:created>
  <dcterms:modified xsi:type="dcterms:W3CDTF">2025-10-07T04:53:25Z</dcterms:modified>
</cp:coreProperties>
</file>